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6-Salud\"/>
    </mc:Choice>
  </mc:AlternateContent>
  <bookViews>
    <workbookView xWindow="465" yWindow="-105" windowWidth="11535" windowHeight="2415"/>
  </bookViews>
  <sheets>
    <sheet name="  6,35  " sheetId="1" r:id="rId1"/>
  </sheets>
  <definedNames>
    <definedName name="_xlnm.Print_Area" localSheetId="0">'  6,35  '!$B$2:$K$58</definedName>
  </definedNames>
  <calcPr calcId="162913"/>
</workbook>
</file>

<file path=xl/calcChain.xml><?xml version="1.0" encoding="utf-8"?>
<calcChain xmlns="http://schemas.openxmlformats.org/spreadsheetml/2006/main">
  <c r="E47" i="1" l="1"/>
  <c r="C47" i="1" s="1"/>
  <c r="E46" i="1"/>
  <c r="C46" i="1" s="1"/>
  <c r="E45" i="1"/>
  <c r="E44" i="1"/>
  <c r="C44" i="1" s="1"/>
  <c r="E43" i="1"/>
  <c r="C43" i="1" s="1"/>
  <c r="E41" i="1"/>
  <c r="C41" i="1" s="1"/>
  <c r="E40" i="1"/>
  <c r="C40" i="1" s="1"/>
  <c r="E39" i="1"/>
  <c r="C39" i="1" s="1"/>
  <c r="E38" i="1"/>
  <c r="E36" i="1" s="1"/>
  <c r="E37" i="1"/>
  <c r="C37" i="1" s="1"/>
  <c r="K42" i="1"/>
  <c r="J42" i="1"/>
  <c r="I42" i="1"/>
  <c r="H42" i="1"/>
  <c r="G42" i="1"/>
  <c r="F42" i="1"/>
  <c r="K36" i="1"/>
  <c r="J36" i="1"/>
  <c r="I36" i="1"/>
  <c r="H36" i="1"/>
  <c r="G36" i="1"/>
  <c r="F36" i="1"/>
  <c r="E42" i="1" l="1"/>
  <c r="C45" i="1"/>
  <c r="C42" i="1" s="1"/>
  <c r="C38" i="1"/>
  <c r="C36" i="1" s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 l="1"/>
  <c r="C10" i="1"/>
  <c r="F9" i="1"/>
  <c r="C13" i="1"/>
  <c r="C11" i="1"/>
  <c r="C23" i="1"/>
  <c r="C22" i="1"/>
  <c r="C21" i="1"/>
  <c r="C20" i="1"/>
  <c r="C19" i="1"/>
  <c r="C18" i="1"/>
  <c r="C17" i="1"/>
  <c r="C16" i="1"/>
  <c r="C15" i="1"/>
  <c r="C14" i="1"/>
  <c r="E56" i="1"/>
  <c r="C56" i="1" s="1"/>
  <c r="E55" i="1"/>
  <c r="C55" i="1" s="1"/>
  <c r="E54" i="1"/>
  <c r="C54" i="1" s="1"/>
  <c r="E53" i="1"/>
  <c r="C53" i="1" s="1"/>
  <c r="E52" i="1"/>
  <c r="C52" i="1" s="1"/>
  <c r="E51" i="1"/>
  <c r="C51" i="1" s="1"/>
  <c r="E50" i="1"/>
  <c r="C50" i="1" s="1"/>
  <c r="E49" i="1"/>
  <c r="C49" i="1" s="1"/>
  <c r="E35" i="1"/>
  <c r="E34" i="1"/>
  <c r="C34" i="1" s="1"/>
  <c r="E33" i="1"/>
  <c r="C33" i="1" s="1"/>
  <c r="E32" i="1"/>
  <c r="C32" i="1" s="1"/>
  <c r="E31" i="1"/>
  <c r="C31" i="1" s="1"/>
  <c r="E30" i="1"/>
  <c r="C30" i="1" s="1"/>
  <c r="E29" i="1"/>
  <c r="C29" i="1" s="1"/>
  <c r="E28" i="1"/>
  <c r="C28" i="1" s="1"/>
  <c r="E27" i="1"/>
  <c r="C27" i="1" s="1"/>
  <c r="E26" i="1"/>
  <c r="C26" i="1" s="1"/>
  <c r="E25" i="1"/>
  <c r="C25" i="1" s="1"/>
  <c r="K9" i="1"/>
  <c r="J9" i="1"/>
  <c r="I9" i="1"/>
  <c r="H9" i="1"/>
  <c r="H8" i="1" s="1"/>
  <c r="G9" i="1"/>
  <c r="G8" i="1" s="1"/>
  <c r="K24" i="1"/>
  <c r="J24" i="1"/>
  <c r="I24" i="1"/>
  <c r="H24" i="1"/>
  <c r="G24" i="1"/>
  <c r="F24" i="1"/>
  <c r="K48" i="1"/>
  <c r="J48" i="1"/>
  <c r="I48" i="1"/>
  <c r="H48" i="1"/>
  <c r="G48" i="1"/>
  <c r="F48" i="1"/>
  <c r="J8" i="1" l="1"/>
  <c r="F8" i="1"/>
  <c r="I8" i="1"/>
  <c r="K8" i="1"/>
  <c r="E24" i="1"/>
  <c r="E8" i="1" s="1"/>
  <c r="C35" i="1"/>
  <c r="C24" i="1" s="1"/>
  <c r="E48" i="1"/>
  <c r="C48" i="1"/>
  <c r="C12" i="1"/>
  <c r="C9" i="1" s="1"/>
  <c r="C8" i="1" l="1"/>
</calcChain>
</file>

<file path=xl/sharedStrings.xml><?xml version="1.0" encoding="utf-8"?>
<sst xmlns="http://schemas.openxmlformats.org/spreadsheetml/2006/main" count="66" uniqueCount="59">
  <si>
    <t>Tipo de seguro de salud</t>
  </si>
  <si>
    <t>Solo SIS</t>
  </si>
  <si>
    <t>Total</t>
  </si>
  <si>
    <t>Provincia Ica</t>
  </si>
  <si>
    <t>Ica</t>
  </si>
  <si>
    <t>La Tinguiña</t>
  </si>
  <si>
    <t>Los Aquijes</t>
  </si>
  <si>
    <t>Ocucaje</t>
  </si>
  <si>
    <t>Pachacútec</t>
  </si>
  <si>
    <t>Parcona</t>
  </si>
  <si>
    <t>Pueblo Nuevo</t>
  </si>
  <si>
    <t>Salas</t>
  </si>
  <si>
    <t>San José de Los Molinos</t>
  </si>
  <si>
    <t>San Juan Bautista</t>
  </si>
  <si>
    <t>Santiago</t>
  </si>
  <si>
    <t>Subtanjalla</t>
  </si>
  <si>
    <t>Tate</t>
  </si>
  <si>
    <t>Yauca del Rosario</t>
  </si>
  <si>
    <t>Provincia Chincha</t>
  </si>
  <si>
    <t>Chincha Alta</t>
  </si>
  <si>
    <t>Alto Larán</t>
  </si>
  <si>
    <t>Chavín</t>
  </si>
  <si>
    <t>Chincha Baja</t>
  </si>
  <si>
    <t>El Carmen</t>
  </si>
  <si>
    <t>Grocio Prado</t>
  </si>
  <si>
    <t>San Juan de Yanac</t>
  </si>
  <si>
    <t>San Pedro de Huacarpana</t>
  </si>
  <si>
    <t>Sunampe</t>
  </si>
  <si>
    <t>Tambo de Mora</t>
  </si>
  <si>
    <t>Provincia Pisco</t>
  </si>
  <si>
    <t>Pisco</t>
  </si>
  <si>
    <t>Huancano</t>
  </si>
  <si>
    <t>Humay</t>
  </si>
  <si>
    <t>Independencia</t>
  </si>
  <si>
    <t>Paracas</t>
  </si>
  <si>
    <t>San Andrés</t>
  </si>
  <si>
    <t>San Clemente</t>
  </si>
  <si>
    <t>Túpac Amaru Inca</t>
  </si>
  <si>
    <t>Provincia Palpa</t>
  </si>
  <si>
    <t xml:space="preserve">Palpa  </t>
  </si>
  <si>
    <t>Llipata</t>
  </si>
  <si>
    <t>Río Grande</t>
  </si>
  <si>
    <t>Santa Cruz</t>
  </si>
  <si>
    <t>Tibillo</t>
  </si>
  <si>
    <t>Provincia Nasca</t>
  </si>
  <si>
    <t xml:space="preserve">Nasca </t>
  </si>
  <si>
    <t>Changuillo</t>
  </si>
  <si>
    <t xml:space="preserve">El Ingenio </t>
  </si>
  <si>
    <t>Marcona</t>
  </si>
  <si>
    <t>Vista Alegre</t>
  </si>
  <si>
    <t>-</t>
  </si>
  <si>
    <t>Solo               ESSALUD</t>
  </si>
  <si>
    <t>Provincia</t>
  </si>
  <si>
    <t>FF. AA. y Policial</t>
  </si>
  <si>
    <t>Seguro Privado</t>
  </si>
  <si>
    <t>Otor      Seguro</t>
  </si>
  <si>
    <t>No           Tiene</t>
  </si>
  <si>
    <t>Fuente: Instituto Nacional de Estadística e Informática (INEI) - Censos Nacionales de Población y Vivienda</t>
  </si>
  <si>
    <t>6.35 ICA: POBLACIÓN CENSADA POR TIPO DE SEGURO DE SALUD, SEGÚN PROVINCIA Y DISTRITO, CENSO NACIONAL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</si>
</sst>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#\ ###"/>
  </numFmts>
  <fonts count="11" x14ac:knownFonts="1">
    <font>
      <sz val="10"/>
      <name val="Arial"/>
    </font>
    <font>
      <sz val="8"/>
      <color indexed="8"/>
      <name val="Arial Narrow"/>
      <family val="2"/>
    </font>
    <font>
      <sz val="8"/>
      <name val="Arial Narrow"/>
      <family val="2"/>
    </font>
    <font>
      <sz val="9"/>
      <color indexed="8"/>
      <name val="Arial Narrow"/>
      <family val="2"/>
    </font>
    <font>
      <sz val="9"/>
      <name val="Arial Narrow"/>
      <family val="2"/>
    </font>
    <font>
      <b/>
      <sz val="9"/>
      <color indexed="8"/>
      <name val="Arial Narrow"/>
      <family val="2"/>
    </font>
    <font>
      <b/>
      <sz val="8"/>
      <name val="Arial Narrow"/>
      <family val="2"/>
    </font>
    <font>
      <b/>
      <sz val="9"/>
      <name val="Arial Narrow"/>
      <family val="2"/>
    </font>
    <font>
      <b/>
      <sz val="7"/>
      <color indexed="8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2" fillId="0" borderId="0" xfId="0" applyNumberFormat="1" applyFont="1" applyAlignment="1">
      <alignment horizontal="right"/>
    </xf>
    <xf numFmtId="164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1" xfId="0" applyFont="1" applyBorder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2" fillId="0" borderId="3" xfId="0" applyFont="1" applyBorder="1"/>
    <xf numFmtId="0" fontId="3" fillId="0" borderId="4" xfId="0" applyFont="1" applyBorder="1"/>
    <xf numFmtId="0" fontId="3" fillId="0" borderId="0" xfId="0" applyFont="1" applyBorder="1"/>
    <xf numFmtId="164" fontId="6" fillId="0" borderId="0" xfId="0" applyNumberFormat="1" applyFont="1"/>
    <xf numFmtId="0" fontId="6" fillId="0" borderId="0" xfId="0" applyFont="1"/>
    <xf numFmtId="0" fontId="2" fillId="0" borderId="0" xfId="0" applyFont="1"/>
    <xf numFmtId="164" fontId="2" fillId="0" borderId="0" xfId="0" quotePrefix="1" applyNumberFormat="1" applyFont="1" applyAlignment="1">
      <alignment horizontal="right"/>
    </xf>
    <xf numFmtId="0" fontId="2" fillId="0" borderId="0" xfId="0" applyFont="1" applyAlignment="1"/>
    <xf numFmtId="0" fontId="7" fillId="0" borderId="0" xfId="0" applyFont="1" applyAlignment="1">
      <alignment horizontal="left"/>
    </xf>
    <xf numFmtId="0" fontId="6" fillId="0" borderId="6" xfId="0" applyFont="1" applyBorder="1"/>
    <xf numFmtId="0" fontId="6" fillId="0" borderId="0" xfId="0" applyFont="1" applyBorder="1" applyAlignment="1">
      <alignment horizontal="center"/>
    </xf>
    <xf numFmtId="0" fontId="6" fillId="0" borderId="1" xfId="0" applyFont="1" applyBorder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0" fontId="8" fillId="0" borderId="0" xfId="0" applyFont="1"/>
    <xf numFmtId="0" fontId="7" fillId="0" borderId="3" xfId="0" applyFont="1" applyBorder="1"/>
    <xf numFmtId="0" fontId="6" fillId="0" borderId="5" xfId="0" applyFont="1" applyBorder="1"/>
    <xf numFmtId="0" fontId="6" fillId="0" borderId="3" xfId="0" applyFont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9" fillId="0" borderId="0" xfId="0" applyFont="1"/>
    <xf numFmtId="0" fontId="10" fillId="0" borderId="0" xfId="0" applyFont="1"/>
    <xf numFmtId="0" fontId="6" fillId="0" borderId="6" xfId="0" applyFont="1" applyBorder="1" applyAlignment="1">
      <alignment horizontal="right" vertical="center" wrapText="1"/>
    </xf>
    <xf numFmtId="0" fontId="6" fillId="0" borderId="0" xfId="0" applyFont="1" applyBorder="1" applyAlignment="1">
      <alignment horizontal="right" vertical="center" wrapText="1"/>
    </xf>
    <xf numFmtId="0" fontId="6" fillId="0" borderId="1" xfId="0" applyFont="1" applyBorder="1" applyAlignment="1">
      <alignment horizontal="right" vertical="center" wrapText="1"/>
    </xf>
    <xf numFmtId="0" fontId="6" fillId="0" borderId="6" xfId="0" applyFont="1" applyBorder="1" applyAlignment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47625</xdr:colOff>
      <xdr:row>1</xdr:row>
      <xdr:rowOff>85725</xdr:rowOff>
    </xdr:from>
    <xdr:to>
      <xdr:col>20</xdr:col>
      <xdr:colOff>95250</xdr:colOff>
      <xdr:row>62</xdr:row>
      <xdr:rowOff>95251</xdr:rowOff>
    </xdr:to>
    <xdr:pic>
      <xdr:nvPicPr>
        <xdr:cNvPr id="2" name="grafico" hidden="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29" t="5776" r="6795" b="3977"/>
        <a:stretch/>
      </xdr:blipFill>
      <xdr:spPr>
        <a:xfrm>
          <a:off x="6467475" y="200025"/>
          <a:ext cx="6143625" cy="907732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</xdr:row>
      <xdr:rowOff>19052</xdr:rowOff>
    </xdr:from>
    <xdr:to>
      <xdr:col>13</xdr:col>
      <xdr:colOff>557011</xdr:colOff>
      <xdr:row>5</xdr:row>
      <xdr:rowOff>106236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5" y="133352"/>
          <a:ext cx="1319011" cy="620584"/>
        </a:xfrm>
        <a:prstGeom prst="rect">
          <a:avLst/>
        </a:prstGeom>
      </xdr:spPr>
    </xdr:pic>
    <xdr:clientData/>
  </xdr:twoCellAnchor>
  <xdr:twoCellAnchor editAs="oneCell">
    <xdr:from>
      <xdr:col>11</xdr:col>
      <xdr:colOff>759601</xdr:colOff>
      <xdr:row>0</xdr:row>
      <xdr:rowOff>102377</xdr:rowOff>
    </xdr:from>
    <xdr:to>
      <xdr:col>13</xdr:col>
      <xdr:colOff>552450</xdr:colOff>
      <xdr:row>5</xdr:row>
      <xdr:rowOff>75261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526" y="102377"/>
          <a:ext cx="1316849" cy="6205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63"/>
  <sheetViews>
    <sheetView showGridLines="0" tabSelected="1" zoomScaleNormal="100" workbookViewId="0">
      <selection activeCell="U9" sqref="U9"/>
    </sheetView>
  </sheetViews>
  <sheetFormatPr baseColWidth="10" defaultRowHeight="12.75" customHeight="1" x14ac:dyDescent="0.2"/>
  <cols>
    <col min="1" max="1" width="1.7109375" customWidth="1"/>
    <col min="2" max="2" width="21" customWidth="1"/>
    <col min="3" max="3" width="8.7109375" customWidth="1"/>
    <col min="4" max="4" width="1.7109375" customWidth="1"/>
    <col min="5" max="10" width="7.7109375" customWidth="1"/>
    <col min="11" max="11" width="8.7109375" customWidth="1"/>
    <col min="12" max="12" width="8.140625" customWidth="1"/>
  </cols>
  <sheetData>
    <row r="1" spans="1:16" ht="9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</row>
    <row r="2" spans="1:16" ht="12" customHeight="1" x14ac:dyDescent="0.25">
      <c r="A2" s="5"/>
      <c r="B2" s="30" t="s">
        <v>58</v>
      </c>
      <c r="C2" s="19"/>
      <c r="D2" s="19"/>
      <c r="E2" s="19"/>
      <c r="F2" s="6"/>
      <c r="G2" s="6"/>
      <c r="H2" s="6"/>
      <c r="I2" s="6"/>
      <c r="J2" s="6"/>
      <c r="K2" s="6"/>
    </row>
    <row r="3" spans="1:16" ht="3" customHeight="1" x14ac:dyDescent="0.25">
      <c r="A3" s="5"/>
      <c r="B3" s="6"/>
      <c r="C3" s="6"/>
      <c r="D3" s="6"/>
      <c r="E3" s="6"/>
      <c r="F3" s="6"/>
      <c r="G3" s="6"/>
      <c r="H3" s="6"/>
      <c r="I3" s="6"/>
      <c r="J3" s="6"/>
      <c r="K3" s="6"/>
    </row>
    <row r="4" spans="1:16" ht="13.5" customHeight="1" x14ac:dyDescent="0.25">
      <c r="A4" s="13"/>
      <c r="B4" s="28"/>
      <c r="C4" s="33" t="s">
        <v>2</v>
      </c>
      <c r="D4" s="20"/>
      <c r="E4" s="38" t="s">
        <v>0</v>
      </c>
      <c r="F4" s="38"/>
      <c r="G4" s="38"/>
      <c r="H4" s="38"/>
      <c r="I4" s="38"/>
      <c r="J4" s="38"/>
      <c r="K4" s="33" t="s">
        <v>56</v>
      </c>
    </row>
    <row r="5" spans="1:16" ht="13.5" customHeight="1" x14ac:dyDescent="0.25">
      <c r="A5" s="13"/>
      <c r="B5" s="29" t="s">
        <v>52</v>
      </c>
      <c r="C5" s="34"/>
      <c r="D5" s="21"/>
      <c r="E5" s="36" t="s">
        <v>2</v>
      </c>
      <c r="F5" s="33" t="s">
        <v>1</v>
      </c>
      <c r="G5" s="33" t="s">
        <v>51</v>
      </c>
      <c r="H5" s="33" t="s">
        <v>53</v>
      </c>
      <c r="I5" s="33" t="s">
        <v>54</v>
      </c>
      <c r="J5" s="33" t="s">
        <v>55</v>
      </c>
      <c r="K5" s="34"/>
    </row>
    <row r="6" spans="1:16" ht="13.5" customHeight="1" x14ac:dyDescent="0.25">
      <c r="A6" s="13"/>
      <c r="B6" s="10"/>
      <c r="C6" s="35"/>
      <c r="D6" s="22"/>
      <c r="E6" s="37"/>
      <c r="F6" s="39"/>
      <c r="G6" s="39"/>
      <c r="H6" s="39"/>
      <c r="I6" s="39"/>
      <c r="J6" s="39"/>
      <c r="K6" s="35"/>
      <c r="P6" s="32">
        <v>2</v>
      </c>
    </row>
    <row r="7" spans="1:16" ht="3" customHeight="1" x14ac:dyDescent="0.25">
      <c r="A7" s="5"/>
      <c r="B7" s="27"/>
      <c r="C7" s="23"/>
      <c r="D7" s="23"/>
      <c r="E7" s="23"/>
      <c r="F7" s="23"/>
      <c r="G7" s="24"/>
      <c r="H7" s="23"/>
      <c r="I7" s="23"/>
      <c r="J7" s="24"/>
      <c r="K7" s="24"/>
    </row>
    <row r="8" spans="1:16" ht="13.5" customHeight="1" x14ac:dyDescent="0.25">
      <c r="A8" s="5"/>
      <c r="B8" s="9" t="s">
        <v>2</v>
      </c>
      <c r="C8" s="14">
        <f>+C9+C24+C36+C42+C48</f>
        <v>850765</v>
      </c>
      <c r="D8" s="25"/>
      <c r="E8" s="14">
        <f t="shared" ref="E8:K8" si="0">+E9+E24+E36+E42+E48</f>
        <v>606000</v>
      </c>
      <c r="F8" s="14">
        <f t="shared" si="0"/>
        <v>253914</v>
      </c>
      <c r="G8" s="14">
        <f t="shared" si="0"/>
        <v>313533</v>
      </c>
      <c r="H8" s="14">
        <f t="shared" si="0"/>
        <v>9436</v>
      </c>
      <c r="I8" s="14">
        <f t="shared" si="0"/>
        <v>15045</v>
      </c>
      <c r="J8" s="14">
        <f t="shared" si="0"/>
        <v>14072</v>
      </c>
      <c r="K8" s="14">
        <f t="shared" si="0"/>
        <v>244765</v>
      </c>
    </row>
    <row r="9" spans="1:16" ht="12" customHeight="1" x14ac:dyDescent="0.25">
      <c r="A9" s="5"/>
      <c r="B9" s="10" t="s">
        <v>3</v>
      </c>
      <c r="C9" s="14">
        <f>SUM(C10:C23)</f>
        <v>391519</v>
      </c>
      <c r="D9" s="15"/>
      <c r="E9" s="14">
        <f>SUM(E10:E23)</f>
        <v>277101</v>
      </c>
      <c r="F9" s="14">
        <f>SUM(F10:F23)</f>
        <v>110757</v>
      </c>
      <c r="G9" s="14">
        <f>SUM(G10:G23)</f>
        <v>147691</v>
      </c>
      <c r="H9" s="14">
        <f>SUM(H10:H23)</f>
        <v>4864</v>
      </c>
      <c r="I9" s="14">
        <f t="shared" ref="I9:K9" si="1">SUM(I10:I23)</f>
        <v>7089</v>
      </c>
      <c r="J9" s="14">
        <f t="shared" si="1"/>
        <v>6700</v>
      </c>
      <c r="K9" s="14">
        <f t="shared" si="1"/>
        <v>114418</v>
      </c>
    </row>
    <row r="10" spans="1:16" ht="12" customHeight="1" x14ac:dyDescent="0.25">
      <c r="A10" s="5"/>
      <c r="B10" s="11" t="s">
        <v>4</v>
      </c>
      <c r="C10" s="3">
        <f>E10+K10</f>
        <v>150280</v>
      </c>
      <c r="D10" s="16"/>
      <c r="E10" s="4">
        <f t="shared" ref="E10:E23" si="2">SUM(F10:J10)</f>
        <v>106821</v>
      </c>
      <c r="F10" s="4">
        <v>36162</v>
      </c>
      <c r="G10" s="4">
        <v>61181</v>
      </c>
      <c r="H10" s="4">
        <v>2556</v>
      </c>
      <c r="I10" s="4">
        <v>3626</v>
      </c>
      <c r="J10" s="4">
        <v>3296</v>
      </c>
      <c r="K10" s="4">
        <v>43459</v>
      </c>
    </row>
    <row r="11" spans="1:16" ht="12" customHeight="1" x14ac:dyDescent="0.25">
      <c r="A11" s="5"/>
      <c r="B11" s="11" t="s">
        <v>5</v>
      </c>
      <c r="C11" s="3">
        <f t="shared" ref="C11:C56" si="3">E11+K11</f>
        <v>39574</v>
      </c>
      <c r="D11" s="16"/>
      <c r="E11" s="4">
        <f t="shared" si="2"/>
        <v>26206</v>
      </c>
      <c r="F11" s="4">
        <v>12545</v>
      </c>
      <c r="G11" s="4">
        <v>12271</v>
      </c>
      <c r="H11" s="4">
        <v>378</v>
      </c>
      <c r="I11" s="17">
        <v>531</v>
      </c>
      <c r="J11" s="17">
        <v>481</v>
      </c>
      <c r="K11" s="16">
        <v>13368</v>
      </c>
    </row>
    <row r="12" spans="1:16" ht="12" customHeight="1" x14ac:dyDescent="0.25">
      <c r="A12" s="5"/>
      <c r="B12" s="11" t="s">
        <v>6</v>
      </c>
      <c r="C12" s="3">
        <f t="shared" si="3"/>
        <v>21963</v>
      </c>
      <c r="D12" s="16"/>
      <c r="E12" s="4">
        <f t="shared" si="2"/>
        <v>15669</v>
      </c>
      <c r="F12" s="4">
        <v>6845</v>
      </c>
      <c r="G12" s="4">
        <v>8002</v>
      </c>
      <c r="H12" s="17">
        <v>145</v>
      </c>
      <c r="I12" s="17">
        <v>354</v>
      </c>
      <c r="J12" s="17">
        <v>323</v>
      </c>
      <c r="K12" s="18">
        <v>6294</v>
      </c>
    </row>
    <row r="13" spans="1:16" ht="12" customHeight="1" x14ac:dyDescent="0.25">
      <c r="A13" s="5"/>
      <c r="B13" s="11" t="s">
        <v>7</v>
      </c>
      <c r="C13" s="3">
        <f t="shared" si="3"/>
        <v>4392</v>
      </c>
      <c r="D13" s="16"/>
      <c r="E13" s="4">
        <f t="shared" si="2"/>
        <v>3509</v>
      </c>
      <c r="F13" s="4">
        <v>2098</v>
      </c>
      <c r="G13" s="4">
        <v>1273</v>
      </c>
      <c r="H13" s="17">
        <v>24</v>
      </c>
      <c r="I13" s="17">
        <v>56</v>
      </c>
      <c r="J13" s="17">
        <v>58</v>
      </c>
      <c r="K13" s="17">
        <v>883</v>
      </c>
    </row>
    <row r="14" spans="1:16" ht="12" customHeight="1" x14ac:dyDescent="0.25">
      <c r="A14" s="5"/>
      <c r="B14" s="11" t="s">
        <v>8</v>
      </c>
      <c r="C14" s="3">
        <f t="shared" si="3"/>
        <v>7411</v>
      </c>
      <c r="D14" s="16"/>
      <c r="E14" s="4">
        <f t="shared" si="2"/>
        <v>5530</v>
      </c>
      <c r="F14" s="4">
        <v>2073</v>
      </c>
      <c r="G14" s="4">
        <v>3145</v>
      </c>
      <c r="H14" s="17">
        <v>56</v>
      </c>
      <c r="I14" s="17">
        <v>143</v>
      </c>
      <c r="J14" s="17">
        <v>113</v>
      </c>
      <c r="K14" s="17">
        <v>1881</v>
      </c>
    </row>
    <row r="15" spans="1:16" ht="12" customHeight="1" x14ac:dyDescent="0.25">
      <c r="A15" s="5"/>
      <c r="B15" s="11" t="s">
        <v>9</v>
      </c>
      <c r="C15" s="3">
        <f t="shared" si="3"/>
        <v>54047</v>
      </c>
      <c r="D15" s="16"/>
      <c r="E15" s="4">
        <f t="shared" si="2"/>
        <v>34347</v>
      </c>
      <c r="F15" s="4">
        <v>16914</v>
      </c>
      <c r="G15" s="4">
        <v>15297</v>
      </c>
      <c r="H15" s="17">
        <v>552</v>
      </c>
      <c r="I15" s="17">
        <v>824</v>
      </c>
      <c r="J15" s="17">
        <v>760</v>
      </c>
      <c r="K15" s="17">
        <v>19700</v>
      </c>
    </row>
    <row r="16" spans="1:16" ht="12" customHeight="1" x14ac:dyDescent="0.25">
      <c r="A16" s="5"/>
      <c r="B16" s="11" t="s">
        <v>10</v>
      </c>
      <c r="C16" s="3">
        <f t="shared" si="3"/>
        <v>6395</v>
      </c>
      <c r="D16" s="16"/>
      <c r="E16" s="4">
        <f t="shared" si="2"/>
        <v>5216</v>
      </c>
      <c r="F16" s="4">
        <v>1883</v>
      </c>
      <c r="G16" s="3">
        <v>3114</v>
      </c>
      <c r="H16" s="17">
        <v>50</v>
      </c>
      <c r="I16" s="17">
        <v>99</v>
      </c>
      <c r="J16" s="17">
        <v>70</v>
      </c>
      <c r="K16" s="17">
        <v>1179</v>
      </c>
    </row>
    <row r="17" spans="1:11" ht="12" customHeight="1" x14ac:dyDescent="0.25">
      <c r="A17" s="5"/>
      <c r="B17" s="11" t="s">
        <v>11</v>
      </c>
      <c r="C17" s="3">
        <f t="shared" si="3"/>
        <v>25767</v>
      </c>
      <c r="D17" s="16"/>
      <c r="E17" s="4">
        <f t="shared" si="2"/>
        <v>18871</v>
      </c>
      <c r="F17" s="4">
        <v>8338</v>
      </c>
      <c r="G17" s="4">
        <v>9576</v>
      </c>
      <c r="H17" s="17">
        <v>171</v>
      </c>
      <c r="I17" s="17">
        <v>345</v>
      </c>
      <c r="J17" s="17">
        <v>441</v>
      </c>
      <c r="K17" s="17">
        <v>6896</v>
      </c>
    </row>
    <row r="18" spans="1:11" ht="12" customHeight="1" x14ac:dyDescent="0.25">
      <c r="A18" s="5"/>
      <c r="B18" s="11" t="s">
        <v>12</v>
      </c>
      <c r="C18" s="3">
        <f t="shared" si="3"/>
        <v>6987</v>
      </c>
      <c r="D18" s="16"/>
      <c r="E18" s="4">
        <f t="shared" si="2"/>
        <v>5188</v>
      </c>
      <c r="F18" s="3">
        <v>2327</v>
      </c>
      <c r="G18" s="4">
        <v>2608</v>
      </c>
      <c r="H18" s="4">
        <v>89</v>
      </c>
      <c r="I18" s="4">
        <v>86</v>
      </c>
      <c r="J18" s="4">
        <v>78</v>
      </c>
      <c r="K18" s="4">
        <v>1799</v>
      </c>
    </row>
    <row r="19" spans="1:11" ht="12" customHeight="1" x14ac:dyDescent="0.25">
      <c r="A19" s="5"/>
      <c r="B19" s="11" t="s">
        <v>13</v>
      </c>
      <c r="C19" s="3">
        <f t="shared" si="3"/>
        <v>13846</v>
      </c>
      <c r="D19" s="16"/>
      <c r="E19" s="4">
        <f t="shared" si="2"/>
        <v>10324</v>
      </c>
      <c r="F19" s="4">
        <v>4135</v>
      </c>
      <c r="G19" s="4">
        <v>5529</v>
      </c>
      <c r="H19" s="4">
        <v>257</v>
      </c>
      <c r="I19" s="4">
        <v>225</v>
      </c>
      <c r="J19" s="4">
        <v>178</v>
      </c>
      <c r="K19" s="4">
        <v>3522</v>
      </c>
    </row>
    <row r="20" spans="1:11" ht="12" customHeight="1" x14ac:dyDescent="0.25">
      <c r="A20" s="5"/>
      <c r="B20" s="11" t="s">
        <v>14</v>
      </c>
      <c r="C20" s="3">
        <f t="shared" si="3"/>
        <v>27645</v>
      </c>
      <c r="D20" s="16"/>
      <c r="E20" s="4">
        <f t="shared" si="2"/>
        <v>20736</v>
      </c>
      <c r="F20" s="4">
        <v>6091</v>
      </c>
      <c r="G20" s="4">
        <v>13652</v>
      </c>
      <c r="H20" s="4">
        <v>214</v>
      </c>
      <c r="I20" s="4">
        <v>284</v>
      </c>
      <c r="J20" s="4">
        <v>495</v>
      </c>
      <c r="K20" s="4">
        <v>6909</v>
      </c>
    </row>
    <row r="21" spans="1:11" ht="12" customHeight="1" x14ac:dyDescent="0.25">
      <c r="A21" s="5"/>
      <c r="B21" s="11" t="s">
        <v>15</v>
      </c>
      <c r="C21" s="3">
        <f t="shared" si="3"/>
        <v>27387</v>
      </c>
      <c r="D21" s="16"/>
      <c r="E21" s="4">
        <f t="shared" si="2"/>
        <v>20292</v>
      </c>
      <c r="F21" s="4">
        <v>9550</v>
      </c>
      <c r="G21" s="4">
        <v>9684</v>
      </c>
      <c r="H21" s="4">
        <v>336</v>
      </c>
      <c r="I21" s="4">
        <v>403</v>
      </c>
      <c r="J21" s="4">
        <v>319</v>
      </c>
      <c r="K21" s="4">
        <v>7095</v>
      </c>
    </row>
    <row r="22" spans="1:11" ht="12" customHeight="1" x14ac:dyDescent="0.25">
      <c r="A22" s="5"/>
      <c r="B22" s="11" t="s">
        <v>16</v>
      </c>
      <c r="C22" s="3">
        <f t="shared" si="3"/>
        <v>4709</v>
      </c>
      <c r="D22" s="16"/>
      <c r="E22" s="4">
        <f t="shared" si="2"/>
        <v>3545</v>
      </c>
      <c r="F22" s="4">
        <v>1082</v>
      </c>
      <c r="G22" s="4">
        <v>2237</v>
      </c>
      <c r="H22" s="4">
        <v>34</v>
      </c>
      <c r="I22" s="4">
        <v>110</v>
      </c>
      <c r="J22" s="4">
        <v>82</v>
      </c>
      <c r="K22" s="4">
        <v>1164</v>
      </c>
    </row>
    <row r="23" spans="1:11" ht="12" customHeight="1" x14ac:dyDescent="0.25">
      <c r="A23" s="5"/>
      <c r="B23" s="11" t="s">
        <v>17</v>
      </c>
      <c r="C23" s="3">
        <f t="shared" si="3"/>
        <v>1116</v>
      </c>
      <c r="D23" s="16"/>
      <c r="E23" s="4">
        <f t="shared" si="2"/>
        <v>847</v>
      </c>
      <c r="F23" s="4">
        <v>714</v>
      </c>
      <c r="G23" s="4">
        <v>122</v>
      </c>
      <c r="H23" s="3">
        <v>2</v>
      </c>
      <c r="I23" s="4">
        <v>3</v>
      </c>
      <c r="J23" s="4">
        <v>6</v>
      </c>
      <c r="K23" s="4">
        <v>269</v>
      </c>
    </row>
    <row r="24" spans="1:11" ht="12" customHeight="1" x14ac:dyDescent="0.25">
      <c r="A24" s="5"/>
      <c r="B24" s="10" t="s">
        <v>18</v>
      </c>
      <c r="C24" s="14">
        <f>SUM(C25:C35)</f>
        <v>226113</v>
      </c>
      <c r="D24" s="15"/>
      <c r="E24" s="14">
        <f>SUM(E25:E35)</f>
        <v>161094</v>
      </c>
      <c r="F24" s="14">
        <f>SUM(F25:F35)</f>
        <v>57738</v>
      </c>
      <c r="G24" s="14">
        <f>SUM(G25:G35)</f>
        <v>92976</v>
      </c>
      <c r="H24" s="14">
        <f>SUM(H25:H35)</f>
        <v>2214</v>
      </c>
      <c r="I24" s="14">
        <f t="shared" ref="I24:K24" si="4">SUM(I25:I35)</f>
        <v>4356</v>
      </c>
      <c r="J24" s="14">
        <f t="shared" si="4"/>
        <v>3810</v>
      </c>
      <c r="K24" s="14">
        <f t="shared" si="4"/>
        <v>65019</v>
      </c>
    </row>
    <row r="25" spans="1:11" ht="12" customHeight="1" x14ac:dyDescent="0.25">
      <c r="A25" s="5"/>
      <c r="B25" s="11" t="s">
        <v>19</v>
      </c>
      <c r="C25" s="3">
        <f t="shared" si="3"/>
        <v>66349</v>
      </c>
      <c r="D25" s="16"/>
      <c r="E25" s="4">
        <f t="shared" ref="E25:E56" si="5">SUM(F25:J25)</f>
        <v>45840</v>
      </c>
      <c r="F25" s="4">
        <v>13631</v>
      </c>
      <c r="G25" s="4">
        <v>28752</v>
      </c>
      <c r="H25" s="4">
        <v>756</v>
      </c>
      <c r="I25" s="4">
        <v>1493</v>
      </c>
      <c r="J25" s="4">
        <v>1208</v>
      </c>
      <c r="K25" s="4">
        <v>20509</v>
      </c>
    </row>
    <row r="26" spans="1:11" ht="12" customHeight="1" x14ac:dyDescent="0.25">
      <c r="A26" s="5"/>
      <c r="B26" s="11" t="s">
        <v>20</v>
      </c>
      <c r="C26" s="3">
        <f t="shared" si="3"/>
        <v>7783</v>
      </c>
      <c r="D26" s="16"/>
      <c r="E26" s="4">
        <f t="shared" si="5"/>
        <v>6094</v>
      </c>
      <c r="F26" s="4">
        <v>1853</v>
      </c>
      <c r="G26" s="4">
        <v>3953</v>
      </c>
      <c r="H26" s="4">
        <v>38</v>
      </c>
      <c r="I26" s="4">
        <v>176</v>
      </c>
      <c r="J26" s="4">
        <v>74</v>
      </c>
      <c r="K26" s="4">
        <v>1689</v>
      </c>
    </row>
    <row r="27" spans="1:11" ht="12" customHeight="1" x14ac:dyDescent="0.25">
      <c r="A27" s="5"/>
      <c r="B27" s="11" t="s">
        <v>21</v>
      </c>
      <c r="C27" s="3">
        <f t="shared" si="3"/>
        <v>2071</v>
      </c>
      <c r="D27" s="16"/>
      <c r="E27" s="4">
        <f t="shared" si="5"/>
        <v>1905</v>
      </c>
      <c r="F27" s="4">
        <v>329</v>
      </c>
      <c r="G27" s="3">
        <v>1155</v>
      </c>
      <c r="H27" s="3" t="s">
        <v>50</v>
      </c>
      <c r="I27" s="4">
        <v>48</v>
      </c>
      <c r="J27" s="4">
        <v>373</v>
      </c>
      <c r="K27" s="4">
        <v>166</v>
      </c>
    </row>
    <row r="28" spans="1:11" ht="12" customHeight="1" x14ac:dyDescent="0.25">
      <c r="A28" s="5"/>
      <c r="B28" s="11" t="s">
        <v>22</v>
      </c>
      <c r="C28" s="3">
        <f t="shared" si="3"/>
        <v>13009</v>
      </c>
      <c r="D28" s="16"/>
      <c r="E28" s="4">
        <f t="shared" si="5"/>
        <v>10207</v>
      </c>
      <c r="F28" s="4">
        <v>1951</v>
      </c>
      <c r="G28" s="3">
        <v>7770</v>
      </c>
      <c r="H28" s="4">
        <v>64</v>
      </c>
      <c r="I28" s="4">
        <v>228</v>
      </c>
      <c r="J28" s="4">
        <v>194</v>
      </c>
      <c r="K28" s="4">
        <v>2802</v>
      </c>
    </row>
    <row r="29" spans="1:11" ht="12" customHeight="1" x14ac:dyDescent="0.25">
      <c r="A29" s="5"/>
      <c r="B29" s="11" t="s">
        <v>23</v>
      </c>
      <c r="C29" s="3">
        <f t="shared" si="3"/>
        <v>12369</v>
      </c>
      <c r="D29" s="16"/>
      <c r="E29" s="4">
        <f t="shared" si="5"/>
        <v>9178</v>
      </c>
      <c r="F29" s="4">
        <v>2421</v>
      </c>
      <c r="G29" s="4">
        <v>6427</v>
      </c>
      <c r="H29" s="4">
        <v>42</v>
      </c>
      <c r="I29" s="4">
        <v>117</v>
      </c>
      <c r="J29" s="4">
        <v>171</v>
      </c>
      <c r="K29" s="4">
        <v>3191</v>
      </c>
    </row>
    <row r="30" spans="1:11" ht="12" customHeight="1" x14ac:dyDescent="0.25">
      <c r="A30" s="5"/>
      <c r="B30" s="11" t="s">
        <v>24</v>
      </c>
      <c r="C30" s="3">
        <f t="shared" si="3"/>
        <v>25294</v>
      </c>
      <c r="D30" s="16"/>
      <c r="E30" s="4">
        <f t="shared" si="5"/>
        <v>17810</v>
      </c>
      <c r="F30" s="4">
        <v>7308</v>
      </c>
      <c r="G30" s="4">
        <v>9378</v>
      </c>
      <c r="H30" s="4">
        <v>322</v>
      </c>
      <c r="I30" s="4">
        <v>450</v>
      </c>
      <c r="J30" s="4">
        <v>352</v>
      </c>
      <c r="K30" s="4">
        <v>7484</v>
      </c>
    </row>
    <row r="31" spans="1:11" ht="12" customHeight="1" x14ac:dyDescent="0.25">
      <c r="A31" s="5"/>
      <c r="B31" s="11" t="s">
        <v>10</v>
      </c>
      <c r="C31" s="3">
        <f t="shared" si="3"/>
        <v>62604</v>
      </c>
      <c r="D31" s="16"/>
      <c r="E31" s="4">
        <f t="shared" si="5"/>
        <v>43453</v>
      </c>
      <c r="F31" s="4">
        <v>20509</v>
      </c>
      <c r="G31" s="4">
        <v>20424</v>
      </c>
      <c r="H31" s="4">
        <v>608</v>
      </c>
      <c r="I31" s="4">
        <v>1090</v>
      </c>
      <c r="J31" s="4">
        <v>822</v>
      </c>
      <c r="K31" s="4">
        <v>19151</v>
      </c>
    </row>
    <row r="32" spans="1:11" ht="12" customHeight="1" x14ac:dyDescent="0.25">
      <c r="A32" s="5"/>
      <c r="B32" s="11" t="s">
        <v>25</v>
      </c>
      <c r="C32" s="3">
        <f t="shared" si="3"/>
        <v>1153</v>
      </c>
      <c r="D32" s="16"/>
      <c r="E32" s="4">
        <f t="shared" si="5"/>
        <v>758</v>
      </c>
      <c r="F32" s="4">
        <v>631</v>
      </c>
      <c r="G32" s="3">
        <v>107</v>
      </c>
      <c r="H32" s="3">
        <v>4</v>
      </c>
      <c r="I32" s="4">
        <v>11</v>
      </c>
      <c r="J32" s="4">
        <v>5</v>
      </c>
      <c r="K32" s="4">
        <v>395</v>
      </c>
    </row>
    <row r="33" spans="1:11" ht="12" customHeight="1" x14ac:dyDescent="0.25">
      <c r="A33" s="5"/>
      <c r="B33" s="11" t="s">
        <v>26</v>
      </c>
      <c r="C33" s="3">
        <f t="shared" si="3"/>
        <v>968</v>
      </c>
      <c r="D33" s="16"/>
      <c r="E33" s="4">
        <f t="shared" si="5"/>
        <v>798</v>
      </c>
      <c r="F33" s="4">
        <v>731</v>
      </c>
      <c r="G33" s="3">
        <v>65</v>
      </c>
      <c r="H33" s="3" t="s">
        <v>50</v>
      </c>
      <c r="I33" s="4">
        <v>2</v>
      </c>
      <c r="J33" s="3" t="s">
        <v>50</v>
      </c>
      <c r="K33" s="4">
        <v>170</v>
      </c>
    </row>
    <row r="34" spans="1:11" ht="12" customHeight="1" x14ac:dyDescent="0.25">
      <c r="A34" s="5"/>
      <c r="B34" s="11" t="s">
        <v>27</v>
      </c>
      <c r="C34" s="3">
        <f t="shared" si="3"/>
        <v>29079</v>
      </c>
      <c r="D34" s="16"/>
      <c r="E34" s="4">
        <f t="shared" si="5"/>
        <v>20790</v>
      </c>
      <c r="F34" s="4">
        <v>6807</v>
      </c>
      <c r="G34" s="4">
        <v>12410</v>
      </c>
      <c r="H34" s="4">
        <v>344</v>
      </c>
      <c r="I34" s="4">
        <v>684</v>
      </c>
      <c r="J34" s="4">
        <v>545</v>
      </c>
      <c r="K34" s="4">
        <v>8289</v>
      </c>
    </row>
    <row r="35" spans="1:11" ht="12" customHeight="1" x14ac:dyDescent="0.25">
      <c r="A35" s="5"/>
      <c r="B35" s="11" t="s">
        <v>28</v>
      </c>
      <c r="C35" s="3">
        <f t="shared" si="3"/>
        <v>5434</v>
      </c>
      <c r="D35" s="16"/>
      <c r="E35" s="4">
        <f t="shared" si="5"/>
        <v>4261</v>
      </c>
      <c r="F35" s="4">
        <v>1567</v>
      </c>
      <c r="G35" s="4">
        <v>2535</v>
      </c>
      <c r="H35" s="4">
        <v>36</v>
      </c>
      <c r="I35" s="4">
        <v>57</v>
      </c>
      <c r="J35" s="4">
        <v>66</v>
      </c>
      <c r="K35" s="4">
        <v>1173</v>
      </c>
    </row>
    <row r="36" spans="1:11" ht="12" customHeight="1" x14ac:dyDescent="0.25">
      <c r="A36" s="5"/>
      <c r="B36" s="10" t="s">
        <v>44</v>
      </c>
      <c r="C36" s="14">
        <f>SUM(C37:C41)</f>
        <v>69157</v>
      </c>
      <c r="D36" s="16"/>
      <c r="E36" s="14">
        <f>SUM(E37:E41)</f>
        <v>51026</v>
      </c>
      <c r="F36" s="14">
        <f t="shared" ref="F36:K36" si="6">SUM(F37:F41)</f>
        <v>27039</v>
      </c>
      <c r="G36" s="14">
        <f t="shared" si="6"/>
        <v>21527</v>
      </c>
      <c r="H36" s="14">
        <f t="shared" si="6"/>
        <v>635</v>
      </c>
      <c r="I36" s="14">
        <f t="shared" si="6"/>
        <v>817</v>
      </c>
      <c r="J36" s="14">
        <f t="shared" si="6"/>
        <v>1008</v>
      </c>
      <c r="K36" s="14">
        <f t="shared" si="6"/>
        <v>18131</v>
      </c>
    </row>
    <row r="37" spans="1:11" ht="12" customHeight="1" x14ac:dyDescent="0.25">
      <c r="A37" s="5"/>
      <c r="B37" s="11" t="s">
        <v>45</v>
      </c>
      <c r="C37" s="3">
        <f t="shared" ref="C37:C41" si="7">E37+K37</f>
        <v>27632</v>
      </c>
      <c r="D37" s="16"/>
      <c r="E37" s="4">
        <f>SUM(F37:J37)</f>
        <v>18861</v>
      </c>
      <c r="F37" s="4">
        <v>10372</v>
      </c>
      <c r="G37" s="3">
        <v>7503</v>
      </c>
      <c r="H37" s="4">
        <v>232</v>
      </c>
      <c r="I37" s="4">
        <v>378</v>
      </c>
      <c r="J37" s="4">
        <v>376</v>
      </c>
      <c r="K37" s="4">
        <v>8771</v>
      </c>
    </row>
    <row r="38" spans="1:11" ht="12" customHeight="1" x14ac:dyDescent="0.25">
      <c r="A38" s="5"/>
      <c r="B38" s="11" t="s">
        <v>46</v>
      </c>
      <c r="C38" s="3">
        <f t="shared" si="7"/>
        <v>1950</v>
      </c>
      <c r="D38" s="1"/>
      <c r="E38" s="2">
        <f>SUM(F38:J38)</f>
        <v>1496</v>
      </c>
      <c r="F38" s="4">
        <v>1207</v>
      </c>
      <c r="G38" s="4">
        <v>262</v>
      </c>
      <c r="H38" s="4">
        <v>7</v>
      </c>
      <c r="I38" s="4">
        <v>11</v>
      </c>
      <c r="J38" s="4">
        <v>9</v>
      </c>
      <c r="K38" s="4">
        <v>454</v>
      </c>
    </row>
    <row r="39" spans="1:11" ht="12" customHeight="1" x14ac:dyDescent="0.25">
      <c r="A39" s="5"/>
      <c r="B39" s="11" t="s">
        <v>47</v>
      </c>
      <c r="C39" s="3">
        <f t="shared" si="7"/>
        <v>3134</v>
      </c>
      <c r="D39" s="1"/>
      <c r="E39" s="2">
        <f>SUM(F39:J39)</f>
        <v>2412</v>
      </c>
      <c r="F39" s="4">
        <v>1979</v>
      </c>
      <c r="G39" s="4">
        <v>375</v>
      </c>
      <c r="H39" s="4">
        <v>28</v>
      </c>
      <c r="I39" s="4">
        <v>12</v>
      </c>
      <c r="J39" s="4">
        <v>18</v>
      </c>
      <c r="K39" s="4">
        <v>722</v>
      </c>
    </row>
    <row r="40" spans="1:11" ht="12" customHeight="1" x14ac:dyDescent="0.25">
      <c r="A40" s="5"/>
      <c r="B40" s="11" t="s">
        <v>48</v>
      </c>
      <c r="C40" s="3">
        <f t="shared" si="7"/>
        <v>15981</v>
      </c>
      <c r="D40" s="1"/>
      <c r="E40" s="2">
        <f>SUM(F40:J40)</f>
        <v>13417</v>
      </c>
      <c r="F40" s="4">
        <v>3907</v>
      </c>
      <c r="G40" s="4">
        <v>8694</v>
      </c>
      <c r="H40" s="4">
        <v>226</v>
      </c>
      <c r="I40" s="4">
        <v>197</v>
      </c>
      <c r="J40" s="4">
        <v>393</v>
      </c>
      <c r="K40" s="4">
        <v>2564</v>
      </c>
    </row>
    <row r="41" spans="1:11" ht="12" customHeight="1" x14ac:dyDescent="0.25">
      <c r="A41" s="5"/>
      <c r="B41" s="11" t="s">
        <v>49</v>
      </c>
      <c r="C41" s="3">
        <f t="shared" si="7"/>
        <v>20460</v>
      </c>
      <c r="D41" s="1"/>
      <c r="E41" s="2">
        <f>SUM(F41:J41)</f>
        <v>14840</v>
      </c>
      <c r="F41" s="4">
        <v>9574</v>
      </c>
      <c r="G41" s="4">
        <v>4693</v>
      </c>
      <c r="H41" s="4">
        <v>142</v>
      </c>
      <c r="I41" s="4">
        <v>219</v>
      </c>
      <c r="J41" s="4">
        <v>212</v>
      </c>
      <c r="K41" s="4">
        <v>5620</v>
      </c>
    </row>
    <row r="42" spans="1:11" ht="12" customHeight="1" x14ac:dyDescent="0.25">
      <c r="A42" s="5"/>
      <c r="B42" s="10" t="s">
        <v>38</v>
      </c>
      <c r="C42" s="14">
        <f>SUM(C43:C47)</f>
        <v>13232</v>
      </c>
      <c r="D42" s="16"/>
      <c r="E42" s="14">
        <f>SUM(E43:E47)</f>
        <v>10335</v>
      </c>
      <c r="F42" s="14">
        <f t="shared" ref="F42:K42" si="8">SUM(F43:F47)</f>
        <v>7146</v>
      </c>
      <c r="G42" s="14">
        <f t="shared" si="8"/>
        <v>2935</v>
      </c>
      <c r="H42" s="14">
        <f t="shared" si="8"/>
        <v>89</v>
      </c>
      <c r="I42" s="14">
        <f t="shared" si="8"/>
        <v>73</v>
      </c>
      <c r="J42" s="14">
        <f t="shared" si="8"/>
        <v>92</v>
      </c>
      <c r="K42" s="14">
        <f t="shared" si="8"/>
        <v>2897</v>
      </c>
    </row>
    <row r="43" spans="1:11" ht="12" customHeight="1" x14ac:dyDescent="0.25">
      <c r="A43" s="5"/>
      <c r="B43" s="11" t="s">
        <v>39</v>
      </c>
      <c r="C43" s="3">
        <f t="shared" ref="C43:C47" si="9">E43+K43</f>
        <v>7748</v>
      </c>
      <c r="D43" s="16"/>
      <c r="E43" s="4">
        <f>SUM(F43:J43)</f>
        <v>5819</v>
      </c>
      <c r="F43" s="4">
        <v>3757</v>
      </c>
      <c r="G43" s="3">
        <v>1866</v>
      </c>
      <c r="H43" s="4">
        <v>74</v>
      </c>
      <c r="I43" s="4">
        <v>55</v>
      </c>
      <c r="J43" s="4">
        <v>67</v>
      </c>
      <c r="K43" s="4">
        <v>1929</v>
      </c>
    </row>
    <row r="44" spans="1:11" ht="12" customHeight="1" x14ac:dyDescent="0.25">
      <c r="A44" s="5"/>
      <c r="B44" s="11" t="s">
        <v>40</v>
      </c>
      <c r="C44" s="3">
        <f t="shared" si="9"/>
        <v>1555</v>
      </c>
      <c r="D44" s="16"/>
      <c r="E44" s="4">
        <f>SUM(F44:J44)</f>
        <v>1243</v>
      </c>
      <c r="F44" s="4">
        <v>869</v>
      </c>
      <c r="G44" s="3">
        <v>359</v>
      </c>
      <c r="H44" s="3">
        <v>6</v>
      </c>
      <c r="I44" s="3">
        <v>2</v>
      </c>
      <c r="J44" s="4">
        <v>7</v>
      </c>
      <c r="K44" s="4">
        <v>312</v>
      </c>
    </row>
    <row r="45" spans="1:11" ht="12" customHeight="1" x14ac:dyDescent="0.25">
      <c r="A45" s="5"/>
      <c r="B45" s="11" t="s">
        <v>41</v>
      </c>
      <c r="C45" s="3">
        <f t="shared" si="9"/>
        <v>2658</v>
      </c>
      <c r="D45" s="15"/>
      <c r="E45" s="4">
        <f>SUM(F45:J45)</f>
        <v>2281</v>
      </c>
      <c r="F45" s="4">
        <v>1756</v>
      </c>
      <c r="G45" s="4">
        <v>496</v>
      </c>
      <c r="H45" s="4">
        <v>4</v>
      </c>
      <c r="I45" s="4">
        <v>14</v>
      </c>
      <c r="J45" s="4">
        <v>11</v>
      </c>
      <c r="K45" s="4">
        <v>377</v>
      </c>
    </row>
    <row r="46" spans="1:11" ht="12" customHeight="1" x14ac:dyDescent="0.25">
      <c r="A46" s="5"/>
      <c r="B46" s="11" t="s">
        <v>42</v>
      </c>
      <c r="C46" s="3">
        <f t="shared" si="9"/>
        <v>927</v>
      </c>
      <c r="D46" s="16"/>
      <c r="E46" s="4">
        <f>SUM(F46:J46)</f>
        <v>718</v>
      </c>
      <c r="F46" s="4">
        <v>524</v>
      </c>
      <c r="G46" s="4">
        <v>184</v>
      </c>
      <c r="H46" s="4">
        <v>5</v>
      </c>
      <c r="I46" s="4">
        <v>2</v>
      </c>
      <c r="J46" s="4">
        <v>3</v>
      </c>
      <c r="K46" s="4">
        <v>209</v>
      </c>
    </row>
    <row r="47" spans="1:11" ht="12" customHeight="1" x14ac:dyDescent="0.25">
      <c r="A47" s="5"/>
      <c r="B47" s="11" t="s">
        <v>43</v>
      </c>
      <c r="C47" s="3">
        <f t="shared" si="9"/>
        <v>344</v>
      </c>
      <c r="D47" s="16"/>
      <c r="E47" s="4">
        <f>SUM(F47:J47)</f>
        <v>274</v>
      </c>
      <c r="F47" s="4">
        <v>240</v>
      </c>
      <c r="G47" s="3">
        <v>30</v>
      </c>
      <c r="H47" s="3" t="s">
        <v>50</v>
      </c>
      <c r="I47" s="3" t="s">
        <v>50</v>
      </c>
      <c r="J47" s="4">
        <v>4</v>
      </c>
      <c r="K47" s="4">
        <v>70</v>
      </c>
    </row>
    <row r="48" spans="1:11" ht="12" customHeight="1" x14ac:dyDescent="0.25">
      <c r="A48" s="5"/>
      <c r="B48" s="10" t="s">
        <v>29</v>
      </c>
      <c r="C48" s="14">
        <f>SUM(C49:C56)</f>
        <v>150744</v>
      </c>
      <c r="D48" s="15"/>
      <c r="E48" s="14">
        <f t="shared" ref="E48:K48" si="10">SUM(E49:E56)</f>
        <v>106444</v>
      </c>
      <c r="F48" s="14">
        <f t="shared" si="10"/>
        <v>51234</v>
      </c>
      <c r="G48" s="14">
        <f t="shared" si="10"/>
        <v>48404</v>
      </c>
      <c r="H48" s="14">
        <f t="shared" si="10"/>
        <v>1634</v>
      </c>
      <c r="I48" s="14">
        <f t="shared" si="10"/>
        <v>2710</v>
      </c>
      <c r="J48" s="14">
        <f t="shared" si="10"/>
        <v>2462</v>
      </c>
      <c r="K48" s="14">
        <f t="shared" si="10"/>
        <v>44300</v>
      </c>
    </row>
    <row r="49" spans="1:11" ht="12" customHeight="1" x14ac:dyDescent="0.25">
      <c r="A49" s="5"/>
      <c r="B49" s="11" t="s">
        <v>30</v>
      </c>
      <c r="C49" s="3">
        <f t="shared" si="3"/>
        <v>67467</v>
      </c>
      <c r="D49" s="16"/>
      <c r="E49" s="4">
        <f t="shared" si="5"/>
        <v>47962</v>
      </c>
      <c r="F49" s="4">
        <v>19040</v>
      </c>
      <c r="G49" s="4">
        <v>25706</v>
      </c>
      <c r="H49" s="4">
        <v>536</v>
      </c>
      <c r="I49" s="4">
        <v>1454</v>
      </c>
      <c r="J49" s="4">
        <v>1226</v>
      </c>
      <c r="K49" s="4">
        <v>19505</v>
      </c>
    </row>
    <row r="50" spans="1:11" ht="12" customHeight="1" x14ac:dyDescent="0.25">
      <c r="A50" s="5"/>
      <c r="B50" s="11" t="s">
        <v>31</v>
      </c>
      <c r="C50" s="3">
        <f t="shared" si="3"/>
        <v>1379</v>
      </c>
      <c r="D50" s="16"/>
      <c r="E50" s="4">
        <f t="shared" si="5"/>
        <v>927</v>
      </c>
      <c r="F50" s="4">
        <v>616</v>
      </c>
      <c r="G50" s="3">
        <v>251</v>
      </c>
      <c r="H50" s="4">
        <v>20</v>
      </c>
      <c r="I50" s="4">
        <v>24</v>
      </c>
      <c r="J50" s="4">
        <v>16</v>
      </c>
      <c r="K50" s="4">
        <v>452</v>
      </c>
    </row>
    <row r="51" spans="1:11" ht="12" customHeight="1" x14ac:dyDescent="0.25">
      <c r="A51" s="5"/>
      <c r="B51" s="11" t="s">
        <v>32</v>
      </c>
      <c r="C51" s="3">
        <f t="shared" si="3"/>
        <v>5408</v>
      </c>
      <c r="D51" s="16"/>
      <c r="E51" s="4">
        <f t="shared" si="5"/>
        <v>4160</v>
      </c>
      <c r="F51" s="4">
        <v>2820</v>
      </c>
      <c r="G51" s="3">
        <v>1220</v>
      </c>
      <c r="H51" s="3">
        <v>34</v>
      </c>
      <c r="I51" s="4">
        <v>51</v>
      </c>
      <c r="J51" s="4">
        <v>35</v>
      </c>
      <c r="K51" s="4">
        <v>1248</v>
      </c>
    </row>
    <row r="52" spans="1:11" ht="12" customHeight="1" x14ac:dyDescent="0.25">
      <c r="A52" s="5"/>
      <c r="B52" s="11" t="s">
        <v>33</v>
      </c>
      <c r="C52" s="3">
        <f t="shared" si="3"/>
        <v>12987</v>
      </c>
      <c r="D52" s="16"/>
      <c r="E52" s="4">
        <f t="shared" si="5"/>
        <v>9445</v>
      </c>
      <c r="F52" s="4">
        <v>7005</v>
      </c>
      <c r="G52" s="4">
        <v>2117</v>
      </c>
      <c r="H52" s="4">
        <v>151</v>
      </c>
      <c r="I52" s="4">
        <v>68</v>
      </c>
      <c r="J52" s="4">
        <v>104</v>
      </c>
      <c r="K52" s="4">
        <v>3542</v>
      </c>
    </row>
    <row r="53" spans="1:11" ht="12" customHeight="1" x14ac:dyDescent="0.25">
      <c r="A53" s="5"/>
      <c r="B53" s="11" t="s">
        <v>34</v>
      </c>
      <c r="C53" s="3">
        <f t="shared" si="3"/>
        <v>7147</v>
      </c>
      <c r="D53" s="16"/>
      <c r="E53" s="4">
        <f t="shared" si="5"/>
        <v>5040</v>
      </c>
      <c r="F53" s="4">
        <v>2108</v>
      </c>
      <c r="G53" s="4">
        <v>2208</v>
      </c>
      <c r="H53" s="4">
        <v>78</v>
      </c>
      <c r="I53" s="4">
        <v>388</v>
      </c>
      <c r="J53" s="4">
        <v>258</v>
      </c>
      <c r="K53" s="4">
        <v>2107</v>
      </c>
    </row>
    <row r="54" spans="1:11" ht="12" customHeight="1" x14ac:dyDescent="0.25">
      <c r="A54" s="5"/>
      <c r="B54" s="11" t="s">
        <v>35</v>
      </c>
      <c r="C54" s="3">
        <f t="shared" si="3"/>
        <v>13767</v>
      </c>
      <c r="D54" s="15"/>
      <c r="E54" s="4">
        <f t="shared" si="5"/>
        <v>9224</v>
      </c>
      <c r="F54" s="4">
        <v>5064</v>
      </c>
      <c r="G54" s="4">
        <v>3143</v>
      </c>
      <c r="H54" s="4">
        <v>565</v>
      </c>
      <c r="I54" s="4">
        <v>173</v>
      </c>
      <c r="J54" s="4">
        <v>279</v>
      </c>
      <c r="K54" s="4">
        <v>4543</v>
      </c>
    </row>
    <row r="55" spans="1:11" ht="12" customHeight="1" x14ac:dyDescent="0.25">
      <c r="A55" s="5"/>
      <c r="B55" s="11" t="s">
        <v>36</v>
      </c>
      <c r="C55" s="3">
        <f t="shared" si="3"/>
        <v>24814</v>
      </c>
      <c r="D55" s="16"/>
      <c r="E55" s="4">
        <f t="shared" si="5"/>
        <v>17324</v>
      </c>
      <c r="F55" s="4">
        <v>9006</v>
      </c>
      <c r="G55" s="4">
        <v>7623</v>
      </c>
      <c r="H55" s="4">
        <v>133</v>
      </c>
      <c r="I55" s="4">
        <v>275</v>
      </c>
      <c r="J55" s="4">
        <v>287</v>
      </c>
      <c r="K55" s="4">
        <v>7490</v>
      </c>
    </row>
    <row r="56" spans="1:11" ht="12" customHeight="1" x14ac:dyDescent="0.25">
      <c r="A56" s="5"/>
      <c r="B56" s="11" t="s">
        <v>37</v>
      </c>
      <c r="C56" s="3">
        <f t="shared" si="3"/>
        <v>17775</v>
      </c>
      <c r="D56" s="16"/>
      <c r="E56" s="4">
        <f t="shared" si="5"/>
        <v>12362</v>
      </c>
      <c r="F56" s="4">
        <v>5575</v>
      </c>
      <c r="G56" s="3">
        <v>6136</v>
      </c>
      <c r="H56" s="3">
        <v>117</v>
      </c>
      <c r="I56" s="4">
        <v>277</v>
      </c>
      <c r="J56" s="4">
        <v>257</v>
      </c>
      <c r="K56" s="4">
        <v>5413</v>
      </c>
    </row>
    <row r="57" spans="1:11" ht="3" customHeight="1" x14ac:dyDescent="0.25">
      <c r="A57" s="5"/>
      <c r="B57" s="12"/>
      <c r="C57" s="8"/>
      <c r="D57" s="8"/>
      <c r="E57" s="8"/>
      <c r="F57" s="8"/>
      <c r="G57" s="8"/>
      <c r="H57" s="8"/>
      <c r="I57" s="8"/>
      <c r="J57" s="8"/>
      <c r="K57" s="8"/>
    </row>
    <row r="58" spans="1:11" ht="12" customHeight="1" x14ac:dyDescent="0.25">
      <c r="A58" s="5"/>
      <c r="B58" s="26" t="s">
        <v>57</v>
      </c>
      <c r="C58" s="7"/>
      <c r="D58" s="7"/>
      <c r="E58" s="7"/>
      <c r="F58" s="5"/>
      <c r="G58" s="5"/>
      <c r="H58" s="5"/>
      <c r="I58" s="5"/>
      <c r="J58" s="5"/>
      <c r="K58" s="5"/>
    </row>
    <row r="63" spans="1:11" ht="12.75" customHeight="1" x14ac:dyDescent="0.2">
      <c r="I63" s="31"/>
    </row>
  </sheetData>
  <mergeCells count="9">
    <mergeCell ref="K4:K6"/>
    <mergeCell ref="E5:E6"/>
    <mergeCell ref="E4:J4"/>
    <mergeCell ref="C4:C6"/>
    <mergeCell ref="G5:G6"/>
    <mergeCell ref="J5:J6"/>
    <mergeCell ref="F5:F6"/>
    <mergeCell ref="H5:H6"/>
    <mergeCell ref="I5:I6"/>
  </mergeCells>
  <phoneticPr fontId="0" type="noConversion"/>
  <printOptions horizontalCentered="1"/>
  <pageMargins left="0.59055118110236227" right="0.59055118110236227" top="0.39370078740157483" bottom="0" header="0" footer="0"/>
  <pageSetup paperSize="9" orientation="portrait" r:id="rId1"/>
  <headerFooter alignWithMargins="0"/>
  <ignoredErrors>
    <ignoredError sqref="E10:E23 E26:E35" formulaRange="1"/>
    <ignoredError sqref="E24:E25 E48 E49:E56 E37:E41 E43:E46" formula="1" formulaRange="1"/>
    <ignoredError sqref="C24:D25 C49:D56 C48:D48 C36:E36 C42:E42 C37:D41 C43:D46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6,35  </vt:lpstr>
      <vt:lpstr>'  6,35  '!Área_de_impresión</vt:lpstr>
    </vt:vector>
  </TitlesOfParts>
  <Company>CIDEP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2018-04-03T19:09:22Z</cp:lastPrinted>
  <dcterms:created xsi:type="dcterms:W3CDTF">1999-06-23T13:06:58Z</dcterms:created>
  <dcterms:modified xsi:type="dcterms:W3CDTF">2022-12-16T16:15:58Z</dcterms:modified>
</cp:coreProperties>
</file>