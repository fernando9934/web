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2-Agrario\"/>
    </mc:Choice>
  </mc:AlternateContent>
  <bookViews>
    <workbookView xWindow="11610" yWindow="-135" windowWidth="10020" windowHeight="10260"/>
  </bookViews>
  <sheets>
    <sheet name="  12,8  " sheetId="1" r:id="rId1"/>
  </sheets>
  <definedNames>
    <definedName name="_xlnm.Print_Area" localSheetId="0">'  12,8  '!$B$2:$G$56</definedName>
  </definedNames>
  <calcPr calcId="162913"/>
</workbook>
</file>

<file path=xl/calcChain.xml><?xml version="1.0" encoding="utf-8"?>
<calcChain xmlns="http://schemas.openxmlformats.org/spreadsheetml/2006/main">
  <c r="J45" i="1" l="1"/>
  <c r="F10" i="1"/>
  <c r="J47" i="1" l="1"/>
  <c r="J46" i="1" l="1"/>
  <c r="J44" i="1"/>
  <c r="J43" i="1"/>
  <c r="F31" i="1" l="1"/>
  <c r="F24" i="1"/>
  <c r="F15" i="1"/>
  <c r="F19" i="1" l="1"/>
  <c r="F35" i="1"/>
  <c r="F34" i="1"/>
  <c r="F33" i="1"/>
  <c r="F32" i="1"/>
  <c r="F30" i="1"/>
  <c r="F29" i="1"/>
  <c r="F28" i="1"/>
  <c r="F27" i="1"/>
  <c r="F26" i="1"/>
  <c r="F23" i="1"/>
  <c r="F22" i="1"/>
  <c r="F21" i="1"/>
  <c r="F20" i="1"/>
  <c r="F14" i="1"/>
  <c r="F13" i="1"/>
  <c r="F12" i="1"/>
  <c r="F11" i="1"/>
</calcChain>
</file>

<file path=xl/sharedStrings.xml><?xml version="1.0" encoding="utf-8"?>
<sst xmlns="http://schemas.openxmlformats.org/spreadsheetml/2006/main" count="52" uniqueCount="42">
  <si>
    <t>(Hectáreas)</t>
  </si>
  <si>
    <t>( Kilos/Hectárea )</t>
  </si>
  <si>
    <t>Principales</t>
  </si>
  <si>
    <t>Cultivos</t>
  </si>
  <si>
    <t>Siembra</t>
  </si>
  <si>
    <t>Cosecha</t>
  </si>
  <si>
    <t>Producción</t>
  </si>
  <si>
    <t>Rendimiento</t>
  </si>
  <si>
    <t>Chacra</t>
  </si>
  <si>
    <t>Precio en</t>
  </si>
  <si>
    <t>Programados</t>
  </si>
  <si>
    <t>Algodón Tanguis</t>
  </si>
  <si>
    <t>Frijol Grano Seco</t>
  </si>
  <si>
    <t>Maíz Amarillo Duro</t>
  </si>
  <si>
    <t>Maíz Amiláceo</t>
  </si>
  <si>
    <t>Papa</t>
  </si>
  <si>
    <t>Trigo</t>
  </si>
  <si>
    <t>Regionales</t>
  </si>
  <si>
    <t>Alfalfa</t>
  </si>
  <si>
    <t>Camote</t>
  </si>
  <si>
    <t>Cebolla Cabeza Roja</t>
  </si>
  <si>
    <t>Espárrago</t>
  </si>
  <si>
    <t>Garbanzo Grano Seco</t>
  </si>
  <si>
    <t>Maíz Chala</t>
  </si>
  <si>
    <t>Mango</t>
  </si>
  <si>
    <t>Naranja</t>
  </si>
  <si>
    <t>Pallar Grano Seco</t>
  </si>
  <si>
    <t>Palta</t>
  </si>
  <si>
    <t>Plátano</t>
  </si>
  <si>
    <t>Vid</t>
  </si>
  <si>
    <t>Yuca</t>
  </si>
  <si>
    <t>Zapallo</t>
  </si>
  <si>
    <t>Algodón</t>
  </si>
  <si>
    <t>Tomate</t>
  </si>
  <si>
    <t>12.8  ICA: VOLUMEN DE PRODUCCIÓN, SUPERFICIE SEMBRADA, COSECHA, RENDIMIENTO</t>
  </si>
  <si>
    <t>Cebada Grano</t>
  </si>
  <si>
    <t>Pecana</t>
  </si>
  <si>
    <t>-</t>
  </si>
  <si>
    <t>Papas mejoradas y nativas</t>
  </si>
  <si>
    <t>Fuente: Dirección Regional Agraria - Ica, Oficina de Información Agraria.</t>
  </si>
  <si>
    <t>(Tonelada)</t>
  </si>
  <si>
    <r>
      <t xml:space="preserve">        PROMEDIO Y PRECIO EN CHACRA, SEGÚN PRINCIPALES CULTIVOS, </t>
    </r>
    <r>
      <rPr>
        <b/>
        <sz val="9"/>
        <color indexed="8"/>
        <rFont val="Arial Narrow"/>
        <family val="2"/>
      </rPr>
      <t>2021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</si>
</sst>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\ ###"/>
    <numFmt numFmtId="165" formatCode="#\ ##0.00"/>
  </numFmts>
  <fonts count="19" x14ac:knownFonts="1">
    <font>
      <sz val="10"/>
      <name val="Arial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56"/>
      <name val="Arial"/>
      <family val="2"/>
    </font>
    <font>
      <b/>
      <sz val="8"/>
      <name val="Arial Narrow"/>
      <family val="2"/>
    </font>
    <font>
      <sz val="10"/>
      <name val="Arial Narrow"/>
      <family val="2"/>
    </font>
    <font>
      <sz val="8"/>
      <color indexed="8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b/>
      <sz val="9"/>
      <color indexed="8"/>
      <name val="Arial Narrow"/>
      <family val="2"/>
    </font>
    <font>
      <b/>
      <sz val="7"/>
      <name val="Arial Narrow"/>
      <family val="2"/>
    </font>
    <font>
      <sz val="10"/>
      <color theme="0"/>
      <name val="Arial"/>
      <family val="2"/>
    </font>
    <font>
      <sz val="10"/>
      <name val="Arial"/>
      <family val="2"/>
    </font>
    <font>
      <sz val="8"/>
      <color theme="0"/>
      <name val="Arial"/>
      <family val="2"/>
    </font>
    <font>
      <sz val="10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2" fontId="1" fillId="0" borderId="0" xfId="0" applyNumberFormat="1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7" fillId="0" borderId="0" xfId="0" applyFont="1"/>
    <xf numFmtId="165" fontId="1" fillId="0" borderId="0" xfId="0" applyNumberFormat="1" applyFont="1"/>
    <xf numFmtId="1" fontId="4" fillId="0" borderId="0" xfId="0" applyNumberFormat="1" applyFont="1" applyAlignment="1"/>
    <xf numFmtId="1" fontId="4" fillId="0" borderId="0" xfId="0" applyNumberFormat="1" applyFont="1"/>
    <xf numFmtId="1" fontId="6" fillId="0" borderId="0" xfId="0" applyNumberFormat="1" applyFont="1"/>
    <xf numFmtId="0" fontId="6" fillId="0" borderId="0" xfId="0" applyFont="1"/>
    <xf numFmtId="0" fontId="9" fillId="0" borderId="0" xfId="0" applyFont="1"/>
    <xf numFmtId="0" fontId="8" fillId="0" borderId="0" xfId="0" applyFont="1" applyBorder="1" applyAlignment="1">
      <alignment horizontal="centerContinuous"/>
    </xf>
    <xf numFmtId="2" fontId="10" fillId="0" borderId="0" xfId="0" applyNumberFormat="1" applyFont="1" applyAlignment="1">
      <alignment horizontal="right"/>
    </xf>
    <xf numFmtId="164" fontId="10" fillId="0" borderId="0" xfId="0" quotePrefix="1" applyNumberFormat="1" applyFont="1" applyAlignment="1">
      <alignment horizontal="right"/>
    </xf>
    <xf numFmtId="0" fontId="11" fillId="0" borderId="3" xfId="0" applyFont="1" applyBorder="1"/>
    <xf numFmtId="0" fontId="9" fillId="0" borderId="3" xfId="0" applyFont="1" applyBorder="1"/>
    <xf numFmtId="2" fontId="11" fillId="0" borderId="3" xfId="0" applyNumberFormat="1" applyFont="1" applyBorder="1"/>
    <xf numFmtId="0" fontId="10" fillId="0" borderId="0" xfId="0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10" fillId="0" borderId="0" xfId="0" applyNumberFormat="1" applyFont="1" applyAlignment="1" applyProtection="1">
      <alignment horizontal="right"/>
    </xf>
    <xf numFmtId="165" fontId="10" fillId="0" borderId="0" xfId="0" applyNumberFormat="1" applyFont="1" applyAlignment="1">
      <alignment horizontal="right"/>
    </xf>
    <xf numFmtId="164" fontId="10" fillId="0" borderId="0" xfId="0" applyNumberFormat="1" applyFont="1" applyBorder="1" applyAlignment="1">
      <alignment horizontal="right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8" fillId="0" borderId="6" xfId="0" applyFont="1" applyBorder="1" applyAlignment="1">
      <alignment horizontal="centerContinuous"/>
    </xf>
    <xf numFmtId="0" fontId="8" fillId="0" borderId="6" xfId="0" applyFont="1" applyBorder="1" applyAlignment="1"/>
    <xf numFmtId="0" fontId="10" fillId="0" borderId="6" xfId="0" applyFont="1" applyBorder="1" applyAlignment="1"/>
    <xf numFmtId="0" fontId="11" fillId="0" borderId="6" xfId="0" applyFont="1" applyBorder="1" applyAlignment="1"/>
    <xf numFmtId="0" fontId="11" fillId="0" borderId="5" xfId="0" applyFont="1" applyBorder="1"/>
    <xf numFmtId="0" fontId="8" fillId="0" borderId="0" xfId="0" applyFont="1" applyBorder="1" applyAlignment="1">
      <alignment horizontal="center" vertical="top"/>
    </xf>
    <xf numFmtId="0" fontId="8" fillId="0" borderId="4" xfId="0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8" fillId="0" borderId="2" xfId="0" applyFont="1" applyBorder="1" applyAlignment="1">
      <alignment horizontal="right" vertical="top"/>
    </xf>
    <xf numFmtId="0" fontId="8" fillId="0" borderId="3" xfId="0" applyFont="1" applyBorder="1" applyAlignment="1">
      <alignment horizontal="right" vertical="top"/>
    </xf>
    <xf numFmtId="0" fontId="15" fillId="0" borderId="0" xfId="0" applyFont="1" applyAlignment="1">
      <alignment horizontal="right"/>
    </xf>
    <xf numFmtId="0" fontId="17" fillId="0" borderId="0" xfId="0" applyFont="1"/>
    <xf numFmtId="164" fontId="15" fillId="0" borderId="0" xfId="0" applyNumberFormat="1" applyFont="1" applyAlignment="1"/>
    <xf numFmtId="164" fontId="15" fillId="0" borderId="0" xfId="0" applyNumberFormat="1" applyFont="1"/>
    <xf numFmtId="0" fontId="18" fillId="0" borderId="0" xfId="0" applyFont="1"/>
    <xf numFmtId="0" fontId="10" fillId="0" borderId="0" xfId="0" applyNumberFormat="1" applyFont="1" applyAlignment="1" applyProtection="1">
      <alignment horizontal="right"/>
    </xf>
    <xf numFmtId="2" fontId="10" fillId="0" borderId="0" xfId="0" applyNumberFormat="1" applyFont="1" applyAlignment="1" applyProtection="1">
      <alignment horizontal="right"/>
    </xf>
    <xf numFmtId="0" fontId="12" fillId="0" borderId="0" xfId="0" applyFont="1" applyAlignment="1"/>
    <xf numFmtId="0" fontId="1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 sz="900" b="1">
                <a:latin typeface="Arial Narrow" pitchFamily="34" charset="0"/>
              </a:rPr>
              <a:t>ICA: VOLUMEN DE PRODUCCIÓN, 2021                                                   
</a:t>
            </a:r>
            <a:r>
              <a:rPr lang="es-PE" sz="900" b="0">
                <a:latin typeface="Arial Narrow" pitchFamily="34" charset="0"/>
              </a:rPr>
              <a:t>(Tonelada)</a:t>
            </a:r>
          </a:p>
        </c:rich>
      </c:tx>
      <c:layout>
        <c:manualLayout>
          <c:xMode val="edge"/>
          <c:yMode val="edge"/>
          <c:x val="0.31071762371167017"/>
          <c:y val="2.9839874666829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580269591005465E-3"/>
          <c:y val="0.13333375328083991"/>
          <c:w val="0.98268605985791202"/>
          <c:h val="0.726667926509186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12,8  '!$J$42</c:f>
              <c:strCache>
                <c:ptCount val="1"/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2.6246719160104987E-3"/>
                  <c:y val="-1.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34CD-46CE-BA29-63473690E853}"/>
                </c:ext>
              </c:extLst>
            </c:dLbl>
            <c:dLbl>
              <c:idx val="1"/>
              <c:layout>
                <c:manualLayout>
                  <c:x val="-4.8118429258658238E-17"/>
                  <c:y val="-2.1333333333333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4CD-46CE-BA29-63473690E853}"/>
                </c:ext>
              </c:extLst>
            </c:dLbl>
            <c:dLbl>
              <c:idx val="2"/>
              <c:layout>
                <c:manualLayout>
                  <c:x val="2.6246719160104987E-3"/>
                  <c:y val="-1.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34CD-46CE-BA29-63473690E853}"/>
                </c:ext>
              </c:extLst>
            </c:dLbl>
            <c:dLbl>
              <c:idx val="3"/>
              <c:layout>
                <c:manualLayout>
                  <c:x val="0"/>
                  <c:y val="-2.1333333333333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34CD-46CE-BA29-63473690E853}"/>
                </c:ext>
              </c:extLst>
            </c:dLbl>
            <c:dLbl>
              <c:idx val="4"/>
              <c:layout>
                <c:manualLayout>
                  <c:x val="0"/>
                  <c:y val="-1.60000000000000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34CD-46CE-BA29-63473690E8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12,8  '!$I$43:$I$47</c:f>
              <c:strCache>
                <c:ptCount val="5"/>
                <c:pt idx="0">
                  <c:v>Algodón</c:v>
                </c:pt>
                <c:pt idx="1">
                  <c:v>Papa</c:v>
                </c:pt>
                <c:pt idx="2">
                  <c:v>Espárrago</c:v>
                </c:pt>
                <c:pt idx="3">
                  <c:v>Tomate</c:v>
                </c:pt>
                <c:pt idx="4">
                  <c:v>Vid</c:v>
                </c:pt>
              </c:strCache>
            </c:strRef>
          </c:cat>
          <c:val>
            <c:numRef>
              <c:f>'  12,8  '!$J$43:$J$47</c:f>
              <c:numCache>
                <c:formatCode>##\ ###</c:formatCode>
                <c:ptCount val="5"/>
                <c:pt idx="0">
                  <c:v>7384.33</c:v>
                </c:pt>
                <c:pt idx="1">
                  <c:v>119440.32000000001</c:v>
                </c:pt>
                <c:pt idx="2">
                  <c:v>179526.06</c:v>
                </c:pt>
                <c:pt idx="3">
                  <c:v>129067.96</c:v>
                </c:pt>
                <c:pt idx="4">
                  <c:v>400589.26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CD-46CE-BA29-63473690E8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49955360"/>
        <c:axId val="250006776"/>
      </c:barChart>
      <c:catAx>
        <c:axId val="249955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Dirección Regional Agraria -Ica</a:t>
                </a:r>
              </a:p>
            </c:rich>
          </c:tx>
          <c:layout>
            <c:manualLayout>
              <c:xMode val="edge"/>
              <c:yMode val="edge"/>
              <c:x val="2.9101824870316408E-2"/>
              <c:y val="0.94079538057742762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0006776"/>
        <c:crosses val="autoZero"/>
        <c:auto val="1"/>
        <c:lblAlgn val="ctr"/>
        <c:lblOffset val="100"/>
        <c:noMultiLvlLbl val="0"/>
      </c:catAx>
      <c:valAx>
        <c:axId val="250006776"/>
        <c:scaling>
          <c:orientation val="minMax"/>
        </c:scaling>
        <c:delete val="0"/>
        <c:axPos val="l"/>
        <c:numFmt formatCode="##\ ###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249955360"/>
        <c:crosses val="autoZero"/>
        <c:crossBetween val="between"/>
        <c:majorUnit val="5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5</xdr:row>
      <xdr:rowOff>142874</xdr:rowOff>
    </xdr:from>
    <xdr:to>
      <xdr:col>14</xdr:col>
      <xdr:colOff>209550</xdr:colOff>
      <xdr:row>25</xdr:row>
      <xdr:rowOff>19049</xdr:rowOff>
    </xdr:to>
    <xdr:graphicFrame macro="">
      <xdr:nvGraphicFramePr>
        <xdr:cNvPr id="1045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39757</xdr:colOff>
      <xdr:row>1</xdr:row>
      <xdr:rowOff>161926</xdr:rowOff>
    </xdr:from>
    <xdr:to>
      <xdr:col>9</xdr:col>
      <xdr:colOff>527932</xdr:colOff>
      <xdr:row>5</xdr:row>
      <xdr:rowOff>33695</xdr:rowOff>
    </xdr:to>
    <xdr:pic macro="[0]!Imagenes">
      <xdr:nvPicPr>
        <xdr:cNvPr id="4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7719" y="275812"/>
          <a:ext cx="1249140" cy="498141"/>
        </a:xfrm>
        <a:prstGeom prst="rect">
          <a:avLst/>
        </a:prstGeom>
      </xdr:spPr>
    </xdr:pic>
    <xdr:clientData/>
  </xdr:twoCellAnchor>
  <xdr:twoCellAnchor editAs="oneCell">
    <xdr:from>
      <xdr:col>8</xdr:col>
      <xdr:colOff>42878</xdr:colOff>
      <xdr:row>1</xdr:row>
      <xdr:rowOff>161113</xdr:rowOff>
    </xdr:from>
    <xdr:to>
      <xdr:col>9</xdr:col>
      <xdr:colOff>531053</xdr:colOff>
      <xdr:row>5</xdr:row>
      <xdr:rowOff>34625</xdr:rowOff>
    </xdr:to>
    <xdr:pic macro="[0]!Imagenes">
      <xdr:nvPicPr>
        <xdr:cNvPr id="5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8753" y="272238"/>
          <a:ext cx="1250175" cy="5085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P62"/>
  <sheetViews>
    <sheetView showGridLines="0" tabSelected="1" zoomScaleNormal="100" workbookViewId="0">
      <selection activeCell="K3" sqref="K3"/>
    </sheetView>
  </sheetViews>
  <sheetFormatPr baseColWidth="10" defaultRowHeight="12.75" x14ac:dyDescent="0.2"/>
  <cols>
    <col min="1" max="1" width="1.7109375" customWidth="1"/>
    <col min="2" max="2" width="21.7109375" customWidth="1"/>
    <col min="3" max="4" width="11.7109375" customWidth="1"/>
    <col min="5" max="5" width="13.7109375" customWidth="1"/>
    <col min="6" max="6" width="12.7109375" customWidth="1"/>
    <col min="7" max="7" width="11.7109375" customWidth="1"/>
    <col min="8" max="8" width="10.7109375" customWidth="1"/>
  </cols>
  <sheetData>
    <row r="1" spans="2:16" ht="9" customHeight="1" x14ac:dyDescent="0.2">
      <c r="B1" s="5"/>
    </row>
    <row r="2" spans="2:16" ht="13.5" customHeight="1" x14ac:dyDescent="0.25">
      <c r="B2" s="45" t="s">
        <v>34</v>
      </c>
      <c r="C2" s="45"/>
      <c r="D2" s="45"/>
      <c r="E2" s="45"/>
      <c r="F2" s="45"/>
      <c r="G2" s="45"/>
    </row>
    <row r="3" spans="2:16" ht="13.5" customHeight="1" x14ac:dyDescent="0.25">
      <c r="B3" s="46" t="s">
        <v>41</v>
      </c>
      <c r="C3" s="46"/>
      <c r="D3" s="46"/>
      <c r="E3" s="46"/>
      <c r="F3" s="46"/>
      <c r="G3" s="46"/>
      <c r="H3" s="6"/>
    </row>
    <row r="4" spans="2:16" ht="9" customHeight="1" x14ac:dyDescent="0.2">
      <c r="B4" s="12"/>
      <c r="C4" s="12"/>
      <c r="D4" s="12"/>
      <c r="E4" s="12"/>
      <c r="F4" s="12"/>
      <c r="G4" s="12"/>
    </row>
    <row r="5" spans="2:16" ht="13.5" customHeight="1" x14ac:dyDescent="0.25">
      <c r="B5" s="33" t="s">
        <v>2</v>
      </c>
      <c r="C5" s="34" t="s">
        <v>4</v>
      </c>
      <c r="D5" s="35" t="s">
        <v>5</v>
      </c>
      <c r="E5" s="35" t="s">
        <v>6</v>
      </c>
      <c r="F5" s="35" t="s">
        <v>7</v>
      </c>
      <c r="G5" s="35" t="s">
        <v>9</v>
      </c>
    </row>
    <row r="6" spans="2:16" ht="13.5" customHeight="1" x14ac:dyDescent="0.2">
      <c r="B6" s="32" t="s">
        <v>3</v>
      </c>
      <c r="C6" s="36" t="s">
        <v>0</v>
      </c>
      <c r="D6" s="37" t="s">
        <v>0</v>
      </c>
      <c r="E6" s="37" t="s">
        <v>40</v>
      </c>
      <c r="F6" s="37" t="s">
        <v>1</v>
      </c>
      <c r="G6" s="37" t="s">
        <v>8</v>
      </c>
      <c r="P6" s="25">
        <v>2</v>
      </c>
    </row>
    <row r="7" spans="2:16" ht="5.25" customHeight="1" x14ac:dyDescent="0.25">
      <c r="B7" s="27"/>
      <c r="C7" s="13"/>
      <c r="D7" s="13"/>
      <c r="E7" s="13"/>
      <c r="F7" s="13"/>
      <c r="G7" s="13"/>
    </row>
    <row r="8" spans="2:16" ht="12.75" customHeight="1" x14ac:dyDescent="0.25">
      <c r="B8" s="28" t="s">
        <v>10</v>
      </c>
      <c r="C8" s="13"/>
      <c r="D8" s="13"/>
      <c r="E8" s="13"/>
      <c r="F8" s="13"/>
      <c r="G8" s="13"/>
    </row>
    <row r="9" spans="2:16" ht="3" customHeight="1" x14ac:dyDescent="0.25">
      <c r="B9" s="28"/>
      <c r="C9" s="13"/>
      <c r="D9" s="13"/>
      <c r="E9" s="13"/>
      <c r="F9" s="13"/>
      <c r="G9" s="13"/>
    </row>
    <row r="10" spans="2:16" ht="12.75" customHeight="1" x14ac:dyDescent="0.25">
      <c r="B10" s="29" t="s">
        <v>11</v>
      </c>
      <c r="C10" s="20">
        <v>3421</v>
      </c>
      <c r="D10" s="21">
        <v>2907</v>
      </c>
      <c r="E10" s="20">
        <v>7384.33</v>
      </c>
      <c r="F10" s="22">
        <f>E10*1000/D10</f>
        <v>2540.1891984864119</v>
      </c>
      <c r="G10" s="44">
        <v>4.5999999999999996</v>
      </c>
      <c r="H10" s="8"/>
      <c r="I10" s="7"/>
    </row>
    <row r="11" spans="2:16" ht="12.75" customHeight="1" x14ac:dyDescent="0.25">
      <c r="B11" s="29" t="s">
        <v>12</v>
      </c>
      <c r="C11" s="20">
        <v>403</v>
      </c>
      <c r="D11" s="21">
        <v>394</v>
      </c>
      <c r="E11" s="20">
        <v>720.7</v>
      </c>
      <c r="F11" s="22">
        <f t="shared" ref="F11:F14" si="0">E11*1000/D11</f>
        <v>1829.1878172588833</v>
      </c>
      <c r="G11" s="43">
        <v>5.22</v>
      </c>
      <c r="H11" s="9"/>
    </row>
    <row r="12" spans="2:16" ht="12.75" customHeight="1" x14ac:dyDescent="0.25">
      <c r="B12" s="29" t="s">
        <v>13</v>
      </c>
      <c r="C12" s="20">
        <v>20958</v>
      </c>
      <c r="D12" s="21">
        <v>20970.5</v>
      </c>
      <c r="E12" s="20">
        <v>193850.86</v>
      </c>
      <c r="F12" s="22">
        <f t="shared" si="0"/>
        <v>9243.9789227724668</v>
      </c>
      <c r="G12" s="43">
        <v>1.32</v>
      </c>
      <c r="H12" s="9"/>
    </row>
    <row r="13" spans="2:16" ht="12.75" customHeight="1" x14ac:dyDescent="0.25">
      <c r="B13" s="29" t="s">
        <v>14</v>
      </c>
      <c r="C13" s="20">
        <v>89</v>
      </c>
      <c r="D13" s="21">
        <v>89</v>
      </c>
      <c r="E13" s="20">
        <v>381.77</v>
      </c>
      <c r="F13" s="22">
        <f t="shared" si="0"/>
        <v>4289.5505617977524</v>
      </c>
      <c r="G13" s="43">
        <v>2.3199999999999998</v>
      </c>
      <c r="H13" s="9"/>
    </row>
    <row r="14" spans="2:16" ht="12.75" customHeight="1" x14ac:dyDescent="0.25">
      <c r="B14" s="29" t="s">
        <v>38</v>
      </c>
      <c r="C14" s="20">
        <v>3466.5</v>
      </c>
      <c r="D14" s="21">
        <v>3480.5</v>
      </c>
      <c r="E14" s="20">
        <v>119440.32000000001</v>
      </c>
      <c r="F14" s="22">
        <f t="shared" si="0"/>
        <v>34317.000430972563</v>
      </c>
      <c r="G14" s="43">
        <v>1.05</v>
      </c>
      <c r="H14" s="9"/>
    </row>
    <row r="15" spans="2:16" ht="12.75" customHeight="1" x14ac:dyDescent="0.25">
      <c r="B15" s="29" t="s">
        <v>16</v>
      </c>
      <c r="C15" s="20">
        <v>15</v>
      </c>
      <c r="D15" s="21">
        <v>15</v>
      </c>
      <c r="E15" s="20">
        <v>38.78</v>
      </c>
      <c r="F15" s="22">
        <f>E15*1000/D15</f>
        <v>2585.3333333333335</v>
      </c>
      <c r="G15" s="43">
        <v>2.36</v>
      </c>
      <c r="H15" s="9"/>
      <c r="I15" s="2"/>
    </row>
    <row r="16" spans="2:16" ht="5.25" customHeight="1" x14ac:dyDescent="0.25">
      <c r="B16" s="30"/>
      <c r="C16" s="20"/>
      <c r="D16" s="20"/>
      <c r="E16" s="20"/>
      <c r="F16" s="22"/>
      <c r="G16" s="19"/>
      <c r="H16" s="9"/>
    </row>
    <row r="17" spans="2:8" ht="12.75" customHeight="1" x14ac:dyDescent="0.25">
      <c r="B17" s="28" t="s">
        <v>17</v>
      </c>
      <c r="C17" s="20"/>
      <c r="D17" s="20"/>
      <c r="E17" s="20"/>
      <c r="F17" s="22"/>
      <c r="G17" s="14"/>
      <c r="H17" s="9"/>
    </row>
    <row r="18" spans="2:8" ht="3" customHeight="1" x14ac:dyDescent="0.25">
      <c r="B18" s="28"/>
      <c r="C18" s="20"/>
      <c r="D18" s="20"/>
      <c r="E18" s="20"/>
      <c r="F18" s="22"/>
      <c r="G18" s="14"/>
      <c r="H18" s="9"/>
    </row>
    <row r="19" spans="2:8" ht="13.5" customHeight="1" x14ac:dyDescent="0.25">
      <c r="B19" s="30" t="s">
        <v>18</v>
      </c>
      <c r="C19" s="20">
        <v>2001</v>
      </c>
      <c r="D19" s="21">
        <v>6029.47</v>
      </c>
      <c r="E19" s="20">
        <v>146440.99</v>
      </c>
      <c r="F19" s="22">
        <f t="shared" ref="F19:F35" si="1">E19*1000/D19</f>
        <v>24287.539369131944</v>
      </c>
      <c r="G19" s="43">
        <v>0.25</v>
      </c>
      <c r="H19" s="9"/>
    </row>
    <row r="20" spans="2:8" ht="12.75" customHeight="1" x14ac:dyDescent="0.25">
      <c r="B20" s="30" t="s">
        <v>19</v>
      </c>
      <c r="C20" s="20">
        <v>974</v>
      </c>
      <c r="D20" s="20">
        <v>989</v>
      </c>
      <c r="E20" s="20">
        <v>24604.82</v>
      </c>
      <c r="F20" s="22">
        <f t="shared" si="1"/>
        <v>24878.483316481295</v>
      </c>
      <c r="G20" s="43">
        <v>0.86</v>
      </c>
      <c r="H20" s="9"/>
    </row>
    <row r="21" spans="2:8" ht="12.75" customHeight="1" x14ac:dyDescent="0.25">
      <c r="B21" s="30" t="s">
        <v>35</v>
      </c>
      <c r="C21" s="20">
        <v>36</v>
      </c>
      <c r="D21" s="20">
        <v>36</v>
      </c>
      <c r="E21" s="20">
        <v>108.56</v>
      </c>
      <c r="F21" s="22">
        <f t="shared" si="1"/>
        <v>3015.5555555555557</v>
      </c>
      <c r="G21" s="43">
        <v>1.31</v>
      </c>
      <c r="H21" s="9"/>
    </row>
    <row r="22" spans="2:8" ht="12.75" customHeight="1" x14ac:dyDescent="0.25">
      <c r="B22" s="30" t="s">
        <v>20</v>
      </c>
      <c r="C22" s="20">
        <v>284</v>
      </c>
      <c r="D22" s="20">
        <v>299</v>
      </c>
      <c r="E22" s="20">
        <v>12594.11</v>
      </c>
      <c r="F22" s="22">
        <f t="shared" si="1"/>
        <v>42120.769230769234</v>
      </c>
      <c r="G22" s="43">
        <v>0.63</v>
      </c>
      <c r="H22" s="9"/>
    </row>
    <row r="23" spans="2:8" ht="12.75" customHeight="1" x14ac:dyDescent="0.25">
      <c r="B23" s="30" t="s">
        <v>21</v>
      </c>
      <c r="C23" s="20">
        <v>227</v>
      </c>
      <c r="D23" s="20">
        <v>14267.35</v>
      </c>
      <c r="E23" s="20">
        <v>179526.06</v>
      </c>
      <c r="F23" s="22">
        <f t="shared" si="1"/>
        <v>12582.999646044991</v>
      </c>
      <c r="G23" s="43">
        <v>4.0599999999999996</v>
      </c>
      <c r="H23" s="10"/>
    </row>
    <row r="24" spans="2:8" ht="12.75" customHeight="1" x14ac:dyDescent="0.25">
      <c r="B24" s="30" t="s">
        <v>22</v>
      </c>
      <c r="C24" s="20">
        <v>71</v>
      </c>
      <c r="D24" s="20">
        <v>71</v>
      </c>
      <c r="E24" s="20">
        <v>126.7</v>
      </c>
      <c r="F24" s="22">
        <f>E24*1000/D24</f>
        <v>1784.5070422535211</v>
      </c>
      <c r="G24" s="43">
        <v>5.08</v>
      </c>
      <c r="H24" s="11"/>
    </row>
    <row r="25" spans="2:8" ht="12.75" customHeight="1" x14ac:dyDescent="0.25">
      <c r="B25" s="30" t="s">
        <v>23</v>
      </c>
      <c r="C25" s="20" t="s">
        <v>37</v>
      </c>
      <c r="D25" s="20" t="s">
        <v>37</v>
      </c>
      <c r="E25" s="20" t="s">
        <v>37</v>
      </c>
      <c r="F25" s="20" t="s">
        <v>37</v>
      </c>
      <c r="G25" s="20" t="s">
        <v>37</v>
      </c>
      <c r="H25" s="11"/>
    </row>
    <row r="26" spans="2:8" ht="12.75" customHeight="1" x14ac:dyDescent="0.25">
      <c r="B26" s="30" t="s">
        <v>24</v>
      </c>
      <c r="C26" s="15" t="s">
        <v>37</v>
      </c>
      <c r="D26" s="20">
        <v>641.99</v>
      </c>
      <c r="E26" s="20">
        <v>7615.14</v>
      </c>
      <c r="F26" s="22">
        <f t="shared" si="1"/>
        <v>11861.773547874578</v>
      </c>
      <c r="G26" s="43">
        <v>1.1399999999999999</v>
      </c>
      <c r="H26" s="11"/>
    </row>
    <row r="27" spans="2:8" ht="12.75" customHeight="1" x14ac:dyDescent="0.25">
      <c r="B27" s="30" t="s">
        <v>25</v>
      </c>
      <c r="C27" s="20">
        <v>7.5</v>
      </c>
      <c r="D27" s="20">
        <v>1039.24</v>
      </c>
      <c r="E27" s="20">
        <v>33496.9</v>
      </c>
      <c r="F27" s="22">
        <f t="shared" si="1"/>
        <v>32232.111927947346</v>
      </c>
      <c r="G27" s="43">
        <v>1.32</v>
      </c>
      <c r="H27" s="11"/>
    </row>
    <row r="28" spans="2:8" ht="12.75" customHeight="1" x14ac:dyDescent="0.25">
      <c r="B28" s="30" t="s">
        <v>26</v>
      </c>
      <c r="C28" s="20">
        <v>2768</v>
      </c>
      <c r="D28" s="20">
        <v>2713.5</v>
      </c>
      <c r="E28" s="20">
        <v>3048.03</v>
      </c>
      <c r="F28" s="22">
        <f t="shared" si="1"/>
        <v>1123.2835820895523</v>
      </c>
      <c r="G28" s="43">
        <v>4.58</v>
      </c>
      <c r="H28" s="11"/>
    </row>
    <row r="29" spans="2:8" ht="12.75" customHeight="1" x14ac:dyDescent="0.25">
      <c r="B29" s="30" t="s">
        <v>27</v>
      </c>
      <c r="C29" s="20">
        <v>687.5</v>
      </c>
      <c r="D29" s="20">
        <v>5682.22</v>
      </c>
      <c r="E29" s="20">
        <v>81699.789999999994</v>
      </c>
      <c r="F29" s="22">
        <f t="shared" si="1"/>
        <v>14378.146217499498</v>
      </c>
      <c r="G29" s="43">
        <v>5.16</v>
      </c>
      <c r="H29" s="11"/>
    </row>
    <row r="30" spans="2:8" ht="12.75" customHeight="1" x14ac:dyDescent="0.25">
      <c r="B30" s="30" t="s">
        <v>36</v>
      </c>
      <c r="C30" s="15">
        <v>54</v>
      </c>
      <c r="D30" s="20">
        <v>1831.93</v>
      </c>
      <c r="E30" s="20">
        <v>4553.45</v>
      </c>
      <c r="F30" s="22">
        <f t="shared" si="1"/>
        <v>2485.6026158204736</v>
      </c>
      <c r="G30" s="43">
        <v>15.33</v>
      </c>
      <c r="H30" s="11"/>
    </row>
    <row r="31" spans="2:8" ht="12.75" customHeight="1" x14ac:dyDescent="0.25">
      <c r="B31" s="30" t="s">
        <v>28</v>
      </c>
      <c r="C31" s="15" t="s">
        <v>37</v>
      </c>
      <c r="D31" s="20">
        <v>142.75</v>
      </c>
      <c r="E31" s="20">
        <v>2667.81</v>
      </c>
      <c r="F31" s="22">
        <f t="shared" si="1"/>
        <v>18688.686514886165</v>
      </c>
      <c r="G31" s="43">
        <v>1.17</v>
      </c>
      <c r="H31" s="11"/>
    </row>
    <row r="32" spans="2:8" ht="12.75" customHeight="1" x14ac:dyDescent="0.25">
      <c r="B32" s="30" t="s">
        <v>33</v>
      </c>
      <c r="C32" s="20">
        <v>1163</v>
      </c>
      <c r="D32" s="20">
        <v>1256.5</v>
      </c>
      <c r="E32" s="20">
        <v>129067.96</v>
      </c>
      <c r="F32" s="22">
        <f t="shared" si="1"/>
        <v>102720.22284122562</v>
      </c>
      <c r="G32" s="43">
        <v>1.05</v>
      </c>
      <c r="H32" s="11"/>
    </row>
    <row r="33" spans="2:12" ht="12.75" customHeight="1" x14ac:dyDescent="0.25">
      <c r="B33" s="30" t="s">
        <v>29</v>
      </c>
      <c r="C33" s="20">
        <v>134</v>
      </c>
      <c r="D33" s="20">
        <v>16962.3</v>
      </c>
      <c r="E33" s="20">
        <v>400589.26</v>
      </c>
      <c r="F33" s="22">
        <f t="shared" si="1"/>
        <v>23616.447062013998</v>
      </c>
      <c r="G33" s="43">
        <v>1.58</v>
      </c>
      <c r="H33" s="11"/>
    </row>
    <row r="34" spans="2:12" ht="12.75" customHeight="1" x14ac:dyDescent="0.25">
      <c r="B34" s="30" t="s">
        <v>30</v>
      </c>
      <c r="C34" s="20">
        <v>369</v>
      </c>
      <c r="D34" s="23">
        <v>309</v>
      </c>
      <c r="E34" s="20">
        <v>7258.74</v>
      </c>
      <c r="F34" s="22">
        <f t="shared" si="1"/>
        <v>23491.067961165048</v>
      </c>
      <c r="G34" s="43">
        <v>0.95</v>
      </c>
      <c r="H34" s="11"/>
    </row>
    <row r="35" spans="2:12" ht="12.75" customHeight="1" x14ac:dyDescent="0.25">
      <c r="B35" s="30" t="s">
        <v>31</v>
      </c>
      <c r="C35" s="20">
        <v>898.5</v>
      </c>
      <c r="D35" s="20">
        <v>882.5</v>
      </c>
      <c r="E35" s="20">
        <v>29323.52</v>
      </c>
      <c r="F35" s="22">
        <f t="shared" si="1"/>
        <v>33227.784702549572</v>
      </c>
      <c r="G35" s="43">
        <v>0.63</v>
      </c>
      <c r="H35" s="11"/>
    </row>
    <row r="36" spans="2:12" ht="6" customHeight="1" x14ac:dyDescent="0.25">
      <c r="B36" s="31"/>
      <c r="C36" s="16"/>
      <c r="D36" s="17"/>
      <c r="E36" s="16"/>
      <c r="F36" s="18"/>
      <c r="G36" s="17"/>
    </row>
    <row r="37" spans="2:12" ht="12.75" customHeight="1" x14ac:dyDescent="0.2">
      <c r="B37" s="24" t="s">
        <v>39</v>
      </c>
      <c r="C37" s="1"/>
      <c r="E37" s="1"/>
      <c r="F37" s="1"/>
    </row>
    <row r="38" spans="2:12" ht="11.25" customHeight="1" x14ac:dyDescent="0.2">
      <c r="B38" s="4"/>
      <c r="C38" s="1"/>
      <c r="D38" s="1"/>
      <c r="E38" s="1"/>
      <c r="F38" s="1"/>
      <c r="G38" s="1"/>
    </row>
    <row r="39" spans="2:12" ht="11.25" customHeight="1" x14ac:dyDescent="0.2">
      <c r="B39" s="4"/>
      <c r="C39" s="1"/>
      <c r="D39" s="1"/>
      <c r="E39" s="1"/>
      <c r="F39" s="1"/>
      <c r="G39" s="1"/>
      <c r="H39" s="25"/>
      <c r="I39" s="25"/>
      <c r="J39" s="25"/>
      <c r="K39" s="25"/>
      <c r="L39" s="42"/>
    </row>
    <row r="40" spans="2:12" ht="11.25" customHeight="1" x14ac:dyDescent="0.2">
      <c r="B40" s="4"/>
      <c r="C40" s="1"/>
      <c r="D40" s="1"/>
      <c r="E40" s="1"/>
      <c r="F40" s="1"/>
      <c r="G40" s="1"/>
      <c r="H40" s="25"/>
      <c r="I40" s="25"/>
      <c r="J40" s="25"/>
      <c r="K40" s="25"/>
      <c r="L40" s="42"/>
    </row>
    <row r="41" spans="2:12" ht="11.25" customHeight="1" x14ac:dyDescent="0.2">
      <c r="B41" s="4"/>
      <c r="C41" s="1"/>
      <c r="D41" s="1"/>
      <c r="E41" s="1"/>
      <c r="F41" s="1"/>
      <c r="G41" s="1"/>
      <c r="H41" s="25"/>
      <c r="I41" s="25"/>
      <c r="J41" s="25"/>
      <c r="K41" s="25"/>
      <c r="L41" s="42"/>
    </row>
    <row r="42" spans="2:12" x14ac:dyDescent="0.2">
      <c r="B42" s="3"/>
      <c r="C42" s="1"/>
      <c r="D42" s="1"/>
      <c r="E42" s="1"/>
      <c r="F42" s="1"/>
      <c r="G42" s="1"/>
      <c r="H42" s="25"/>
      <c r="I42" s="38"/>
      <c r="J42" s="38"/>
      <c r="K42" s="25"/>
      <c r="L42" s="42"/>
    </row>
    <row r="43" spans="2:12" x14ac:dyDescent="0.2">
      <c r="B43" s="1"/>
      <c r="C43" s="1"/>
      <c r="D43" s="1"/>
      <c r="E43" s="1"/>
      <c r="F43" s="1"/>
      <c r="G43" s="1"/>
      <c r="H43" s="25"/>
      <c r="I43" s="39" t="s">
        <v>32</v>
      </c>
      <c r="J43" s="40">
        <f>E10</f>
        <v>7384.33</v>
      </c>
      <c r="K43" s="25"/>
      <c r="L43" s="42"/>
    </row>
    <row r="44" spans="2:12" x14ac:dyDescent="0.2">
      <c r="B44" s="1"/>
      <c r="C44" s="1"/>
      <c r="D44" s="1"/>
      <c r="E44" s="1"/>
      <c r="F44" s="1"/>
      <c r="G44" s="1"/>
      <c r="H44" s="25"/>
      <c r="I44" s="39" t="s">
        <v>15</v>
      </c>
      <c r="J44" s="41">
        <f>E14</f>
        <v>119440.32000000001</v>
      </c>
      <c r="K44" s="25"/>
      <c r="L44" s="42"/>
    </row>
    <row r="45" spans="2:12" x14ac:dyDescent="0.2">
      <c r="B45" s="1"/>
      <c r="C45" s="1"/>
      <c r="D45" s="1"/>
      <c r="E45" s="1"/>
      <c r="F45" s="1"/>
      <c r="G45" s="1"/>
      <c r="H45" s="25"/>
      <c r="I45" s="39" t="s">
        <v>21</v>
      </c>
      <c r="J45" s="41">
        <f>E23</f>
        <v>179526.06</v>
      </c>
      <c r="K45" s="25"/>
      <c r="L45" s="42"/>
    </row>
    <row r="46" spans="2:12" x14ac:dyDescent="0.2">
      <c r="B46" s="1"/>
      <c r="C46" s="1"/>
      <c r="D46" s="1"/>
      <c r="E46" s="1"/>
      <c r="F46" s="1"/>
      <c r="G46" s="1"/>
      <c r="H46" s="25"/>
      <c r="I46" s="39" t="s">
        <v>33</v>
      </c>
      <c r="J46" s="41">
        <f>E32</f>
        <v>129067.96</v>
      </c>
      <c r="K46" s="25"/>
      <c r="L46" s="42"/>
    </row>
    <row r="47" spans="2:12" x14ac:dyDescent="0.2">
      <c r="B47" s="1"/>
      <c r="C47" s="1"/>
      <c r="D47" s="1"/>
      <c r="E47" s="1"/>
      <c r="F47" s="1"/>
      <c r="G47" s="1"/>
      <c r="H47" s="25"/>
      <c r="I47" s="39" t="s">
        <v>29</v>
      </c>
      <c r="J47" s="41">
        <f>E33</f>
        <v>400589.26</v>
      </c>
      <c r="K47" s="25"/>
      <c r="L47" s="42"/>
    </row>
    <row r="48" spans="2:12" x14ac:dyDescent="0.2">
      <c r="B48" s="1"/>
      <c r="C48" s="1"/>
      <c r="D48" s="1"/>
      <c r="E48" s="1"/>
      <c r="F48" s="1"/>
      <c r="G48" s="1"/>
      <c r="H48" s="25"/>
      <c r="I48" s="25"/>
      <c r="J48" s="25"/>
      <c r="K48" s="25"/>
      <c r="L48" s="42"/>
    </row>
    <row r="49" spans="2:12" x14ac:dyDescent="0.2">
      <c r="B49" s="1"/>
      <c r="C49" s="1"/>
      <c r="D49" s="1"/>
      <c r="E49" s="1"/>
      <c r="F49" s="1"/>
      <c r="G49" s="1"/>
      <c r="H49" s="25"/>
      <c r="I49" s="25"/>
      <c r="J49" s="25"/>
      <c r="K49" s="25"/>
      <c r="L49" s="42"/>
    </row>
    <row r="50" spans="2:12" x14ac:dyDescent="0.2">
      <c r="B50" s="1"/>
      <c r="C50" s="1"/>
      <c r="D50" s="1"/>
      <c r="E50" s="1"/>
      <c r="F50" s="1"/>
      <c r="G50" s="1"/>
      <c r="H50" s="25"/>
      <c r="I50" s="25"/>
      <c r="J50" s="25"/>
      <c r="K50" s="25"/>
      <c r="L50" s="42"/>
    </row>
    <row r="51" spans="2:12" x14ac:dyDescent="0.2">
      <c r="B51" s="1"/>
      <c r="C51" s="1"/>
      <c r="D51" s="1"/>
      <c r="E51" s="1"/>
      <c r="F51" s="1"/>
      <c r="G51" s="1"/>
      <c r="H51" s="42"/>
      <c r="I51" s="42"/>
      <c r="J51" s="42"/>
      <c r="K51" s="42"/>
      <c r="L51" s="42"/>
    </row>
    <row r="52" spans="2:12" x14ac:dyDescent="0.2">
      <c r="B52" s="1"/>
      <c r="C52" s="1"/>
      <c r="D52" s="1"/>
      <c r="E52" s="1"/>
      <c r="F52" s="1"/>
      <c r="G52" s="1"/>
      <c r="H52" s="26"/>
      <c r="I52" s="26"/>
      <c r="J52" s="26"/>
      <c r="K52" s="26"/>
      <c r="L52" s="26"/>
    </row>
    <row r="53" spans="2:12" x14ac:dyDescent="0.2">
      <c r="B53" s="1"/>
      <c r="C53" s="1"/>
      <c r="D53" s="1"/>
      <c r="E53" s="1"/>
      <c r="F53" s="1"/>
      <c r="G53" s="1"/>
      <c r="H53" s="26"/>
      <c r="I53" s="26"/>
      <c r="J53" s="26"/>
      <c r="K53" s="26"/>
      <c r="L53" s="26"/>
    </row>
    <row r="54" spans="2:12" x14ac:dyDescent="0.2">
      <c r="B54" s="1"/>
      <c r="C54" s="1"/>
      <c r="D54" s="1"/>
      <c r="E54" s="1"/>
      <c r="F54" s="1"/>
      <c r="G54" s="1"/>
      <c r="H54" s="26"/>
      <c r="I54" s="26"/>
      <c r="J54" s="26"/>
      <c r="K54" s="26"/>
      <c r="L54" s="26"/>
    </row>
    <row r="55" spans="2:12" x14ac:dyDescent="0.2">
      <c r="B55" s="1"/>
      <c r="C55" s="1"/>
      <c r="D55" s="1"/>
      <c r="E55" s="1"/>
      <c r="F55" s="1"/>
      <c r="G55" s="1"/>
    </row>
    <row r="56" spans="2:12" x14ac:dyDescent="0.2">
      <c r="B56" s="1"/>
      <c r="C56" s="1"/>
      <c r="D56" s="1"/>
      <c r="E56" s="1"/>
      <c r="F56" s="1"/>
      <c r="G56" s="1"/>
    </row>
    <row r="57" spans="2:12" x14ac:dyDescent="0.2">
      <c r="B57" s="1"/>
      <c r="C57" s="1"/>
      <c r="D57" s="1"/>
      <c r="E57" s="1"/>
      <c r="F57" s="1"/>
      <c r="G57" s="1"/>
    </row>
    <row r="58" spans="2:12" x14ac:dyDescent="0.2">
      <c r="B58" s="1"/>
      <c r="C58" s="1"/>
      <c r="D58" s="1"/>
      <c r="E58" s="1"/>
      <c r="F58" s="1"/>
      <c r="G58" s="1"/>
    </row>
    <row r="59" spans="2:12" x14ac:dyDescent="0.2">
      <c r="B59" s="1"/>
      <c r="C59" s="1"/>
      <c r="D59" s="1"/>
      <c r="E59" s="1"/>
      <c r="F59" s="1"/>
      <c r="G59" s="1"/>
    </row>
    <row r="60" spans="2:12" x14ac:dyDescent="0.2">
      <c r="B60" s="1"/>
      <c r="C60" s="1"/>
      <c r="D60" s="1"/>
      <c r="E60" s="1"/>
      <c r="F60" s="1"/>
      <c r="G60" s="1"/>
    </row>
    <row r="61" spans="2:12" x14ac:dyDescent="0.2">
      <c r="B61" s="1"/>
      <c r="C61" s="1"/>
      <c r="D61" s="1"/>
      <c r="E61" s="1"/>
      <c r="F61" s="1"/>
      <c r="G61" s="1"/>
    </row>
    <row r="62" spans="2:12" x14ac:dyDescent="0.2">
      <c r="B62" s="1"/>
      <c r="C62" s="1"/>
      <c r="D62" s="1"/>
      <c r="E62" s="1"/>
      <c r="F62" s="1"/>
      <c r="G62" s="1"/>
    </row>
  </sheetData>
  <mergeCells count="2">
    <mergeCell ref="B2:G2"/>
    <mergeCell ref="B3:G3"/>
  </mergeCells>
  <phoneticPr fontId="0" type="noConversion"/>
  <pageMargins left="0.62992125984251968" right="0.59055118110236227" top="0.9055118110236221" bottom="0.59055118110236227" header="0.51181102362204722" footer="0.35433070866141736"/>
  <pageSetup paperSize="9" orientation="portrait" horizontalDpi="120" verticalDpi="144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12,8  </vt:lpstr>
      <vt:lpstr>'  12,8  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2022-12-15T14:25:15Z</cp:lastPrinted>
  <dcterms:created xsi:type="dcterms:W3CDTF">2005-08-03T18:57:08Z</dcterms:created>
  <dcterms:modified xsi:type="dcterms:W3CDTF">2022-12-15T14:52:45Z</dcterms:modified>
</cp:coreProperties>
</file>