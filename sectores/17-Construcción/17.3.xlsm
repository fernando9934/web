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UIS CANO\Desktop\ICA COMPENDIO ESTADISTICO 2022\pagina\sectores\17-Construcción\"/>
    </mc:Choice>
  </mc:AlternateContent>
  <bookViews>
    <workbookView xWindow="-15" yWindow="-15" windowWidth="11820" windowHeight="10140"/>
  </bookViews>
  <sheets>
    <sheet name="  17,3  " sheetId="1" r:id="rId1"/>
  </sheets>
  <definedNames>
    <definedName name="_xlnm.Print_Area" localSheetId="0">'  17,3  '!$B$2:$L$50</definedName>
  </definedNames>
  <calcPr calcId="162913"/>
</workbook>
</file>

<file path=xl/calcChain.xml><?xml version="1.0" encoding="utf-8"?>
<calcChain xmlns="http://schemas.openxmlformats.org/spreadsheetml/2006/main">
  <c r="K7" i="1" l="1"/>
  <c r="J7" i="1"/>
  <c r="I7" i="1"/>
  <c r="H7" i="1"/>
  <c r="G7" i="1"/>
  <c r="F7" i="1"/>
  <c r="E7" i="1"/>
  <c r="D7" i="1"/>
  <c r="C7" i="1"/>
  <c r="L7" i="1" l="1"/>
</calcChain>
</file>

<file path=xl/sharedStrings.xml><?xml version="1.0" encoding="utf-8"?>
<sst xmlns="http://schemas.openxmlformats.org/spreadsheetml/2006/main" count="30" uniqueCount="30">
  <si>
    <t xml:space="preserve">        (Toneladas)</t>
  </si>
  <si>
    <t>Departamento</t>
  </si>
  <si>
    <t>Total</t>
  </si>
  <si>
    <t>Amazonas</t>
  </si>
  <si>
    <t>Apurímac</t>
  </si>
  <si>
    <t>Arequipa</t>
  </si>
  <si>
    <t>Ayacucho</t>
  </si>
  <si>
    <t>Cajamarca</t>
  </si>
  <si>
    <t>Cusco</t>
  </si>
  <si>
    <t>Huancavelica</t>
  </si>
  <si>
    <t>Huánuco</t>
  </si>
  <si>
    <t>Ica</t>
  </si>
  <si>
    <t>Junín</t>
  </si>
  <si>
    <t>La Libertad</t>
  </si>
  <si>
    <t>Lambayeque</t>
  </si>
  <si>
    <t>Loreto</t>
  </si>
  <si>
    <t>Madre de Dios</t>
  </si>
  <si>
    <t>Moquegua</t>
  </si>
  <si>
    <t>Pasco</t>
  </si>
  <si>
    <t>Piura</t>
  </si>
  <si>
    <t>Puno</t>
  </si>
  <si>
    <t>San Martín</t>
  </si>
  <si>
    <t>Tacna</t>
  </si>
  <si>
    <t>Ucayali</t>
  </si>
  <si>
    <t>Áncash</t>
  </si>
  <si>
    <t>Tumbes</t>
  </si>
  <si>
    <t>17.3  PERÚ: VENTA LOCAL DE CEMENTO, SEGÚN DEPARTAMENTO, 2012 - 2021</t>
  </si>
  <si>
    <t>Fuente: Empresas productoras e importadoras de Cemento.</t>
  </si>
  <si>
    <t>Lima 1/</t>
  </si>
  <si>
    <t>1/ Incluye la Provincia Constitucional del Callao.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</si>
</sst>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#\ ###\ ##0"/>
    <numFmt numFmtId="165" formatCode="_(* #.##0.00_);_(* \(#.##0.00\);_(* &quot;-&quot;??_);_(@_)"/>
    <numFmt numFmtId="166" formatCode="##\ ###\ ###"/>
  </numFmts>
  <fonts count="12" x14ac:knownFonts="1">
    <font>
      <sz val="10"/>
      <name val="Arial"/>
    </font>
    <font>
      <sz val="10"/>
      <name val="Arial"/>
      <family val="2"/>
    </font>
    <font>
      <sz val="7"/>
      <name val="Times New Roman"/>
      <family val="1"/>
    </font>
    <font>
      <b/>
      <sz val="7"/>
      <name val="Arial Narrow"/>
      <family val="2"/>
    </font>
    <font>
      <b/>
      <sz val="8"/>
      <name val="Arial Narrow"/>
      <family val="2"/>
    </font>
    <font>
      <sz val="8"/>
      <name val="Arial Narrow"/>
      <family val="2"/>
    </font>
    <font>
      <b/>
      <sz val="9"/>
      <name val="Arial Narrow"/>
      <family val="2"/>
    </font>
    <font>
      <i/>
      <sz val="8"/>
      <name val="Arial Narrow"/>
      <family val="2"/>
    </font>
    <font>
      <sz val="8"/>
      <color theme="0"/>
      <name val="Arial Narrow"/>
      <family val="2"/>
    </font>
    <font>
      <sz val="7"/>
      <name val="Arial Narrow"/>
      <family val="2"/>
    </font>
    <font>
      <u/>
      <sz val="10"/>
      <name val="Arial"/>
      <family val="2"/>
    </font>
    <font>
      <sz val="10"/>
      <color theme="0"/>
      <name val="Arial"/>
      <family val="2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5">
    <xf numFmtId="0" fontId="0" fillId="0" borderId="0"/>
    <xf numFmtId="0" fontId="1" fillId="0" borderId="0"/>
    <xf numFmtId="0" fontId="2" fillId="0" borderId="0"/>
    <xf numFmtId="0" fontId="1" fillId="0" borderId="0"/>
    <xf numFmtId="165" fontId="1" fillId="0" borderId="0" applyFont="0" applyFill="0" applyBorder="0" applyAlignment="0" applyProtection="0"/>
  </cellStyleXfs>
  <cellXfs count="45">
    <xf numFmtId="0" fontId="0" fillId="0" borderId="0" xfId="0"/>
    <xf numFmtId="0" fontId="5" fillId="0" borderId="0" xfId="0" applyFont="1" applyBorder="1"/>
    <xf numFmtId="0" fontId="4" fillId="0" borderId="0" xfId="0" applyFont="1" applyAlignment="1">
      <alignment vertical="top"/>
    </xf>
    <xf numFmtId="0" fontId="4" fillId="0" borderId="0" xfId="0" applyFont="1" applyBorder="1" applyAlignment="1">
      <alignment horizontal="center"/>
    </xf>
    <xf numFmtId="164" fontId="5" fillId="0" borderId="0" xfId="1" applyNumberFormat="1" applyFont="1" applyFill="1" applyBorder="1" applyAlignment="1">
      <alignment horizontal="right" vertical="center"/>
    </xf>
    <xf numFmtId="0" fontId="5" fillId="0" borderId="1" xfId="0" applyFont="1" applyBorder="1"/>
    <xf numFmtId="164" fontId="5" fillId="0" borderId="1" xfId="0" applyNumberFormat="1" applyFont="1" applyBorder="1"/>
    <xf numFmtId="0" fontId="3" fillId="0" borderId="0" xfId="2" applyFont="1" applyAlignment="1" applyProtection="1">
      <alignment horizontal="left" vertical="center"/>
    </xf>
    <xf numFmtId="0" fontId="5" fillId="0" borderId="0" xfId="0" applyFont="1"/>
    <xf numFmtId="164" fontId="5" fillId="0" borderId="0" xfId="0" applyNumberFormat="1" applyFont="1"/>
    <xf numFmtId="0" fontId="6" fillId="0" borderId="0" xfId="2" applyFont="1" applyAlignment="1">
      <alignment horizontal="left"/>
    </xf>
    <xf numFmtId="0" fontId="5" fillId="0" borderId="0" xfId="0" applyFont="1" applyProtection="1">
      <protection locked="0"/>
    </xf>
    <xf numFmtId="0" fontId="7" fillId="0" borderId="0" xfId="2" applyFont="1"/>
    <xf numFmtId="0" fontId="5" fillId="0" borderId="0" xfId="0" applyFont="1" applyBorder="1" applyProtection="1">
      <protection locked="0"/>
    </xf>
    <xf numFmtId="0" fontId="4" fillId="0" borderId="0" xfId="0" applyFont="1" applyBorder="1" applyAlignment="1">
      <alignment horizontal="left"/>
    </xf>
    <xf numFmtId="0" fontId="4" fillId="0" borderId="0" xfId="0" applyFont="1" applyBorder="1"/>
    <xf numFmtId="0" fontId="5" fillId="0" borderId="0" xfId="0" applyFont="1" applyAlignment="1">
      <alignment vertical="top"/>
    </xf>
    <xf numFmtId="0" fontId="4" fillId="0" borderId="0" xfId="0" applyFont="1" applyProtection="1">
      <protection locked="0"/>
    </xf>
    <xf numFmtId="0" fontId="4" fillId="0" borderId="2" xfId="2" applyFont="1" applyBorder="1" applyAlignment="1" applyProtection="1">
      <alignment horizontal="center" vertical="center"/>
    </xf>
    <xf numFmtId="0" fontId="4" fillId="0" borderId="2" xfId="2" applyFont="1" applyBorder="1" applyAlignment="1" applyProtection="1">
      <alignment vertical="center"/>
    </xf>
    <xf numFmtId="0" fontId="5" fillId="0" borderId="2" xfId="2" applyFont="1" applyBorder="1" applyAlignment="1" applyProtection="1">
      <alignment vertical="center"/>
    </xf>
    <xf numFmtId="0" fontId="5" fillId="0" borderId="2" xfId="0" applyFont="1" applyBorder="1" applyAlignment="1">
      <alignment vertical="center"/>
    </xf>
    <xf numFmtId="0" fontId="5" fillId="0" borderId="3" xfId="2" applyFont="1" applyBorder="1" applyAlignment="1" applyProtection="1">
      <alignment horizontal="left" vertical="center"/>
    </xf>
    <xf numFmtId="0" fontId="4" fillId="0" borderId="4" xfId="2" applyFont="1" applyBorder="1" applyAlignment="1" applyProtection="1">
      <alignment horizontal="right" vertical="center"/>
    </xf>
    <xf numFmtId="0" fontId="4" fillId="0" borderId="5" xfId="2" applyFont="1" applyBorder="1" applyAlignment="1" applyProtection="1">
      <alignment horizontal="center" vertical="center"/>
    </xf>
    <xf numFmtId="164" fontId="5" fillId="0" borderId="0" xfId="2" applyNumberFormat="1" applyFont="1" applyFill="1" applyBorder="1" applyAlignment="1" applyProtection="1">
      <alignment horizontal="right" vertical="center"/>
    </xf>
    <xf numFmtId="164" fontId="5" fillId="0" borderId="0" xfId="1" applyNumberFormat="1" applyFont="1" applyFill="1" applyAlignment="1">
      <alignment horizontal="right" vertical="center"/>
    </xf>
    <xf numFmtId="164" fontId="4" fillId="0" borderId="0" xfId="1" applyNumberFormat="1" applyFont="1" applyFill="1" applyBorder="1" applyAlignment="1">
      <alignment horizontal="right" vertical="center"/>
    </xf>
    <xf numFmtId="164" fontId="4" fillId="0" borderId="0" xfId="1" applyNumberFormat="1" applyFont="1" applyFill="1" applyAlignment="1">
      <alignment horizontal="right" vertical="center"/>
    </xf>
    <xf numFmtId="0" fontId="8" fillId="0" borderId="0" xfId="0" applyFont="1"/>
    <xf numFmtId="0" fontId="8" fillId="0" borderId="0" xfId="0" applyFont="1" applyFill="1" applyBorder="1"/>
    <xf numFmtId="1" fontId="8" fillId="0" borderId="0" xfId="0" applyNumberFormat="1" applyFont="1"/>
    <xf numFmtId="164" fontId="4" fillId="0" borderId="0" xfId="1" applyNumberFormat="1" applyFont="1" applyBorder="1" applyAlignment="1" applyProtection="1">
      <alignment horizontal="right" vertical="center"/>
    </xf>
    <xf numFmtId="164" fontId="5" fillId="0" borderId="0" xfId="3" applyNumberFormat="1" applyFont="1" applyFill="1" applyAlignment="1">
      <alignment horizontal="right" vertical="center"/>
    </xf>
    <xf numFmtId="164" fontId="4" fillId="0" borderId="0" xfId="3" applyNumberFormat="1" applyFont="1" applyFill="1" applyAlignment="1">
      <alignment horizontal="right" vertical="center"/>
    </xf>
    <xf numFmtId="164" fontId="5" fillId="0" borderId="0" xfId="3" applyNumberFormat="1" applyFont="1" applyFill="1" applyBorder="1" applyAlignment="1">
      <alignment horizontal="right" vertical="center"/>
    </xf>
    <xf numFmtId="0" fontId="8" fillId="0" borderId="0" xfId="0" applyFont="1" applyBorder="1"/>
    <xf numFmtId="164" fontId="8" fillId="0" borderId="0" xfId="3" applyNumberFormat="1" applyFont="1" applyFill="1" applyAlignment="1">
      <alignment horizontal="right" vertical="center"/>
    </xf>
    <xf numFmtId="166" fontId="5" fillId="0" borderId="0" xfId="4" applyNumberFormat="1" applyFont="1" applyFill="1" applyBorder="1" applyAlignment="1">
      <alignment horizontal="right" vertical="center" wrapText="1" shrinkToFit="1"/>
    </xf>
    <xf numFmtId="166" fontId="4" fillId="0" borderId="0" xfId="4" applyNumberFormat="1" applyFont="1" applyFill="1" applyBorder="1" applyAlignment="1">
      <alignment horizontal="right" vertical="center" wrapText="1" shrinkToFit="1"/>
    </xf>
    <xf numFmtId="164" fontId="5" fillId="0" borderId="0" xfId="0" applyNumberFormat="1" applyFont="1" applyBorder="1"/>
    <xf numFmtId="0" fontId="9" fillId="0" borderId="0" xfId="2" applyFont="1" applyBorder="1" applyAlignment="1" applyProtection="1">
      <alignment horizontal="left" vertical="center"/>
    </xf>
    <xf numFmtId="0" fontId="10" fillId="0" borderId="0" xfId="0" applyFont="1"/>
    <xf numFmtId="0" fontId="4" fillId="0" borderId="0" xfId="0" applyFont="1" applyBorder="1" applyAlignment="1">
      <alignment horizontal="center" vertical="center"/>
    </xf>
    <xf numFmtId="0" fontId="11" fillId="0" borderId="0" xfId="0" applyFont="1"/>
  </cellXfs>
  <cellStyles count="5">
    <cellStyle name="Millares 2" xfId="4"/>
    <cellStyle name="Normal" xfId="0" builtinId="0"/>
    <cellStyle name="Normal_CEP2" xfId="1"/>
    <cellStyle name="Normal_CEP2 2" xfId="3"/>
    <cellStyle name="Normal_IEC15020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 i="0" u="none" strike="noStrike" baseline="0">
                <a:solidFill>
                  <a:srgbClr val="000000"/>
                </a:solidFill>
                <a:latin typeface="Arial Narrow"/>
                <a:ea typeface="Arial Narrow"/>
                <a:cs typeface="Arial Narrow"/>
              </a:defRPr>
            </a:pPr>
            <a:r>
              <a:rPr lang="es-PE" sz="900" b="1"/>
              <a:t>ICA: VENTA LOCAL DE CEMENTO, 2014 - 2021                                                                             </a:t>
            </a:r>
            <a:r>
              <a:rPr lang="es-PE" sz="900" b="0"/>
              <a:t>(</a:t>
            </a:r>
            <a:r>
              <a:rPr lang="es-PE" sz="800" b="0"/>
              <a:t>Miles de toneladas)</a:t>
            </a:r>
          </a:p>
        </c:rich>
      </c:tx>
      <c:layout>
        <c:manualLayout>
          <c:xMode val="edge"/>
          <c:yMode val="edge"/>
          <c:x val="0.28116201892673864"/>
          <c:y val="5.5894842412991062E-3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2135605965659858E-3"/>
          <c:y val="0.20212491731216528"/>
          <c:w val="0.98357388143877678"/>
          <c:h val="0.6480600900497195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  17,3  '!$M$38</c:f>
              <c:strCache>
                <c:ptCount val="1"/>
              </c:strCache>
            </c:strRef>
          </c:tx>
          <c:spPr>
            <a:solidFill>
              <a:srgbClr val="6666FF"/>
            </a:solidFill>
            <a:ln w="9525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layout>
                <c:manualLayout>
                  <c:x val="-3.5838507991379251E-3"/>
                  <c:y val="-6.7707484840257041E-3"/>
                </c:manualLayout>
              </c:layout>
              <c:spPr/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Arial Narrow" panose="020B0606020202030204" pitchFamily="34" charset="0"/>
                      <a:ea typeface="Arial"/>
                      <a:cs typeface="Arial"/>
                    </a:defRPr>
                  </a:pPr>
                  <a:endParaRPr lang="es-PE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1602-4F4D-B844-7781CBE2932A}"/>
                </c:ext>
              </c:extLst>
            </c:dLbl>
            <c:dLbl>
              <c:idx val="1"/>
              <c:layout>
                <c:manualLayout>
                  <c:x val="-3.5838507991379125E-3"/>
                  <c:y val="-1.0236220472440946E-3"/>
                </c:manualLayout>
              </c:layout>
              <c:spPr/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Arial Narrow" panose="020B0606020202030204" pitchFamily="34" charset="0"/>
                      <a:ea typeface="Arial"/>
                      <a:cs typeface="Arial"/>
                    </a:defRPr>
                  </a:pPr>
                  <a:endParaRPr lang="es-PE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1-1602-4F4D-B844-7781CBE2932A}"/>
                </c:ext>
              </c:extLst>
            </c:dLbl>
            <c:dLbl>
              <c:idx val="2"/>
              <c:layout>
                <c:manualLayout>
                  <c:x val="1.9886110727387147E-3"/>
                  <c:y val="-1.0236220472441473E-3"/>
                </c:manualLayout>
              </c:layout>
              <c:spPr/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Arial Narrow" panose="020B0606020202030204" pitchFamily="34" charset="0"/>
                      <a:ea typeface="Arial"/>
                      <a:cs typeface="Arial"/>
                    </a:defRPr>
                  </a:pPr>
                  <a:endParaRPr lang="es-PE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2-1602-4F4D-B844-7781CBE2932A}"/>
                </c:ext>
              </c:extLst>
            </c:dLbl>
            <c:dLbl>
              <c:idx val="3"/>
              <c:layout>
                <c:manualLayout>
                  <c:x val="-6.1047924564994465E-4"/>
                  <c:y val="-7.1119558331070682E-3"/>
                </c:manualLayout>
              </c:layout>
              <c:spPr/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Arial Narrow" panose="020B0606020202030204" pitchFamily="34" charset="0"/>
                      <a:ea typeface="Arial"/>
                      <a:cs typeface="Arial"/>
                    </a:defRPr>
                  </a:pPr>
                  <a:endParaRPr lang="es-PE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3-1602-4F4D-B844-7781CBE2932A}"/>
                </c:ext>
              </c:extLst>
            </c:dLbl>
            <c:dLbl>
              <c:idx val="4"/>
              <c:layout>
                <c:manualLayout>
                  <c:x val="-4.5780827104214313E-4"/>
                  <c:y val="-1.0236220472441473E-3"/>
                </c:manualLayout>
              </c:layout>
              <c:spPr/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Arial Narrow" panose="020B0606020202030204" pitchFamily="34" charset="0"/>
                      <a:ea typeface="Arial"/>
                      <a:cs typeface="Arial"/>
                    </a:defRPr>
                  </a:pPr>
                  <a:endParaRPr lang="es-PE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4-1602-4F4D-B844-7781CBE2932A}"/>
                </c:ext>
              </c:extLst>
            </c:dLbl>
            <c:dLbl>
              <c:idx val="5"/>
              <c:layout>
                <c:manualLayout>
                  <c:x val="1.9886110727387147E-3"/>
                  <c:y val="-1.0236220472440946E-3"/>
                </c:manualLayout>
              </c:layout>
              <c:spPr/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Arial Narrow" panose="020B0606020202030204" pitchFamily="34" charset="0"/>
                      <a:ea typeface="Arial"/>
                      <a:cs typeface="Arial"/>
                    </a:defRPr>
                  </a:pPr>
                  <a:endParaRPr lang="es-PE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5-1602-4F4D-B844-7781CBE2932A}"/>
                </c:ext>
              </c:extLst>
            </c:dLbl>
            <c:dLbl>
              <c:idx val="6"/>
              <c:layout>
                <c:manualLayout>
                  <c:x val="-1.4014622441202605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6-1602-4F4D-B844-7781CBE2932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 Narrow" panose="020B0606020202030204" pitchFamily="34" charset="0"/>
                    <a:ea typeface="Arial"/>
                    <a:cs typeface="Arial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numRef>
              <c:f>'  17,3  '!$L$39:$L$46</c:f>
              <c:numCache>
                <c:formatCode>General</c:formatCode>
                <c:ptCount val="8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</c:numCache>
            </c:numRef>
          </c:cat>
          <c:val>
            <c:numRef>
              <c:f>'  17,3  '!$M$39:$M$46</c:f>
              <c:numCache>
                <c:formatCode>0</c:formatCode>
                <c:ptCount val="8"/>
                <c:pt idx="0">
                  <c:v>500.70800000000003</c:v>
                </c:pt>
                <c:pt idx="1">
                  <c:v>520.58100000000002</c:v>
                </c:pt>
                <c:pt idx="2">
                  <c:v>515.81100000000004</c:v>
                </c:pt>
                <c:pt idx="3">
                  <c:v>549.72500000000002</c:v>
                </c:pt>
                <c:pt idx="4">
                  <c:v>566.35599999999999</c:v>
                </c:pt>
                <c:pt idx="5" formatCode="#\ ###\ ##0">
                  <c:v>655.47400000000005</c:v>
                </c:pt>
                <c:pt idx="6" formatCode="#\ ###\ ##0">
                  <c:v>541.71400000000006</c:v>
                </c:pt>
                <c:pt idx="7" formatCode="#\ ###\ ##0">
                  <c:v>750.85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602-4F4D-B844-7781CBE293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5"/>
        <c:axId val="127938872"/>
        <c:axId val="127936520"/>
      </c:barChart>
      <c:catAx>
        <c:axId val="1279388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700">
                    <a:latin typeface="Arial Narrow" panose="020B0606020202030204" pitchFamily="34" charset="0"/>
                  </a:defRPr>
                </a:pPr>
                <a:r>
                  <a:rPr lang="en-US" sz="700" b="1">
                    <a:latin typeface="Arial Narrow" panose="020B0606020202030204" pitchFamily="34" charset="0"/>
                  </a:rPr>
                  <a:t>Fuente: Empresas Productoras de Cemento - Asocem.</a:t>
                </a:r>
                <a:r>
                  <a:rPr lang="en-US" sz="700">
                    <a:latin typeface="Arial Narrow" panose="020B0606020202030204" pitchFamily="34" charset="0"/>
                  </a:rPr>
                  <a:t> </a:t>
                </a:r>
              </a:p>
            </c:rich>
          </c:tx>
          <c:layout>
            <c:manualLayout>
              <c:xMode val="edge"/>
              <c:yMode val="edge"/>
              <c:x val="3.1965945777245687E-2"/>
              <c:y val="0.92447189790931306"/>
            </c:manualLayout>
          </c:layout>
          <c:overlay val="0"/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Narrow" panose="020B0606020202030204" pitchFamily="34" charset="0"/>
                <a:ea typeface="Arial"/>
                <a:cs typeface="Arial"/>
              </a:defRPr>
            </a:pPr>
            <a:endParaRPr lang="es-PE"/>
          </a:p>
        </c:txPr>
        <c:crossAx val="127936520"/>
        <c:crosses val="autoZero"/>
        <c:auto val="1"/>
        <c:lblAlgn val="ctr"/>
        <c:lblOffset val="100"/>
        <c:noMultiLvlLbl val="0"/>
      </c:catAx>
      <c:valAx>
        <c:axId val="127936520"/>
        <c:scaling>
          <c:orientation val="minMax"/>
        </c:scaling>
        <c:delete val="0"/>
        <c:axPos val="l"/>
        <c:numFmt formatCode="0" sourceLinked="1"/>
        <c:majorTickMark val="out"/>
        <c:minorTickMark val="none"/>
        <c:tickLblPos val="nextTo"/>
        <c:txPr>
          <a:bodyPr/>
          <a:lstStyle/>
          <a:p>
            <a:pPr>
              <a:defRPr baseline="0">
                <a:latin typeface="Arial Narrow" panose="020B0606020202030204" pitchFamily="34" charset="0"/>
              </a:defRPr>
            </a:pPr>
            <a:endParaRPr lang="es-PE"/>
          </a:p>
        </c:txPr>
        <c:crossAx val="12793887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  <a:effectLst>
      <a:outerShdw dist="35921" dir="2700000" algn="br">
        <a:schemeClr val="bg1"/>
      </a:outerShdw>
    </a:effectLst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PE"/>
    </a:p>
  </c:txPr>
  <c:printSettings>
    <c:headerFooter alignWithMargins="0"/>
    <c:pageMargins b="1" l="0.75" r="0.75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733</xdr:colOff>
      <xdr:row>4</xdr:row>
      <xdr:rowOff>8792</xdr:rowOff>
    </xdr:from>
    <xdr:to>
      <xdr:col>18</xdr:col>
      <xdr:colOff>408843</xdr:colOff>
      <xdr:row>16</xdr:row>
      <xdr:rowOff>189767</xdr:rowOff>
    </xdr:to>
    <xdr:graphicFrame macro="">
      <xdr:nvGraphicFramePr>
        <xdr:cNvPr id="1057" name="grafico" hidden="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0</xdr:colOff>
      <xdr:row>0</xdr:row>
      <xdr:rowOff>51289</xdr:rowOff>
    </xdr:from>
    <xdr:to>
      <xdr:col>14</xdr:col>
      <xdr:colOff>458133</xdr:colOff>
      <xdr:row>2</xdr:row>
      <xdr:rowOff>158682</xdr:rowOff>
    </xdr:to>
    <xdr:pic macro="[0]!Imagenes">
      <xdr:nvPicPr>
        <xdr:cNvPr id="2" name="mostrar" hidden="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30462" y="51289"/>
          <a:ext cx="1220133" cy="488393"/>
        </a:xfrm>
        <a:prstGeom prst="rect">
          <a:avLst/>
        </a:prstGeom>
      </xdr:spPr>
    </xdr:pic>
    <xdr:clientData/>
  </xdr:twoCellAnchor>
  <xdr:twoCellAnchor editAs="oneCell">
    <xdr:from>
      <xdr:col>13</xdr:col>
      <xdr:colOff>3462</xdr:colOff>
      <xdr:row>0</xdr:row>
      <xdr:rowOff>45227</xdr:rowOff>
    </xdr:from>
    <xdr:to>
      <xdr:col>14</xdr:col>
      <xdr:colOff>461595</xdr:colOff>
      <xdr:row>3</xdr:row>
      <xdr:rowOff>6804</xdr:rowOff>
    </xdr:to>
    <xdr:pic macro="[0]!Imagenes">
      <xdr:nvPicPr>
        <xdr:cNvPr id="3" name="ocultar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17176" y="45227"/>
          <a:ext cx="1220133" cy="51266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pageSetUpPr autoPageBreaks="0"/>
  </sheetPr>
  <dimension ref="A1:P53"/>
  <sheetViews>
    <sheetView showGridLines="0" tabSelected="1" zoomScaleNormal="100" zoomScaleSheetLayoutView="75" workbookViewId="0">
      <selection activeCell="Q13" sqref="Q13"/>
    </sheetView>
  </sheetViews>
  <sheetFormatPr baseColWidth="10" defaultRowHeight="12.75" customHeight="1" x14ac:dyDescent="0.2"/>
  <cols>
    <col min="1" max="1" width="1.7109375" customWidth="1"/>
    <col min="2" max="2" width="10.7109375" customWidth="1"/>
    <col min="3" max="12" width="7.42578125" customWidth="1"/>
    <col min="13" max="13" width="7.7109375" customWidth="1"/>
  </cols>
  <sheetData>
    <row r="1" spans="1:16" ht="13.5" customHeight="1" x14ac:dyDescent="0.25">
      <c r="A1" s="11"/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</row>
    <row r="2" spans="1:16" ht="16.5" customHeight="1" x14ac:dyDescent="0.25">
      <c r="A2" s="11"/>
      <c r="B2" s="10" t="s">
        <v>26</v>
      </c>
      <c r="C2" s="1"/>
      <c r="D2" s="1"/>
      <c r="E2" s="1"/>
      <c r="F2" s="1"/>
      <c r="G2" s="1"/>
      <c r="H2" s="1"/>
      <c r="I2" s="1"/>
      <c r="J2" s="1"/>
      <c r="K2" s="1"/>
      <c r="L2" s="8"/>
      <c r="M2" s="8"/>
    </row>
    <row r="3" spans="1:16" ht="13.5" customHeight="1" x14ac:dyDescent="0.25">
      <c r="A3" s="11"/>
      <c r="B3" s="16" t="s">
        <v>0</v>
      </c>
      <c r="C3" s="1"/>
      <c r="D3" s="1"/>
      <c r="E3" s="1"/>
      <c r="F3" s="1"/>
      <c r="G3" s="1"/>
      <c r="H3" s="1"/>
      <c r="I3" s="1"/>
      <c r="J3" s="1"/>
      <c r="K3" s="1"/>
      <c r="L3" s="8"/>
      <c r="M3" s="8"/>
    </row>
    <row r="4" spans="1:16" ht="3" customHeight="1" x14ac:dyDescent="0.25">
      <c r="A4" s="11"/>
      <c r="B4" s="2"/>
      <c r="C4" s="1"/>
      <c r="D4" s="1"/>
      <c r="E4" s="1"/>
      <c r="F4" s="1"/>
      <c r="G4" s="1"/>
      <c r="H4" s="1"/>
      <c r="I4" s="1"/>
      <c r="J4" s="1"/>
      <c r="K4" s="1"/>
      <c r="L4" s="8"/>
      <c r="M4" s="8"/>
    </row>
    <row r="5" spans="1:16" ht="17.25" customHeight="1" x14ac:dyDescent="0.25">
      <c r="A5" s="11"/>
      <c r="B5" s="24" t="s">
        <v>1</v>
      </c>
      <c r="C5" s="23">
        <v>2012</v>
      </c>
      <c r="D5" s="23">
        <v>2013</v>
      </c>
      <c r="E5" s="23">
        <v>2014</v>
      </c>
      <c r="F5" s="23">
        <v>2015</v>
      </c>
      <c r="G5" s="23">
        <v>2016</v>
      </c>
      <c r="H5" s="23">
        <v>2017</v>
      </c>
      <c r="I5" s="23">
        <v>2018</v>
      </c>
      <c r="J5" s="23">
        <v>2019</v>
      </c>
      <c r="K5" s="23">
        <v>2020</v>
      </c>
      <c r="L5" s="23">
        <v>2021</v>
      </c>
      <c r="M5" s="1"/>
    </row>
    <row r="6" spans="1:16" ht="3" customHeight="1" x14ac:dyDescent="0.25">
      <c r="A6" s="11"/>
      <c r="B6" s="18"/>
      <c r="C6" s="3"/>
      <c r="D6" s="3"/>
      <c r="E6" s="3"/>
      <c r="F6" s="3"/>
      <c r="G6" s="3"/>
      <c r="H6" s="3"/>
      <c r="I6" s="3"/>
      <c r="J6" s="3"/>
      <c r="K6" s="3"/>
      <c r="L6" s="3"/>
      <c r="M6" s="1"/>
      <c r="P6" s="44">
        <v>2</v>
      </c>
    </row>
    <row r="7" spans="1:16" ht="15" customHeight="1" x14ac:dyDescent="0.25">
      <c r="A7" s="11"/>
      <c r="B7" s="19" t="s">
        <v>2</v>
      </c>
      <c r="C7" s="32">
        <f t="shared" ref="C7" si="0">SUM(C8:C31)</f>
        <v>9515989.1869999971</v>
      </c>
      <c r="D7" s="32">
        <f t="shared" ref="D7" si="1">SUM(D8:D31)</f>
        <v>10960604.606000004</v>
      </c>
      <c r="E7" s="32">
        <f t="shared" ref="E7" si="2">SUM(E8:E31)</f>
        <v>11032286.577499995</v>
      </c>
      <c r="F7" s="32">
        <f t="shared" ref="F7" si="3">SUM(F8:F31)</f>
        <v>11019826.826789996</v>
      </c>
      <c r="G7" s="32">
        <f t="shared" ref="G7" si="4">SUM(G8:G31)</f>
        <v>10795766.630579263</v>
      </c>
      <c r="H7" s="32">
        <f t="shared" ref="H7" si="5">SUM(H8:H31)</f>
        <v>10708349.654336615</v>
      </c>
      <c r="I7" s="32">
        <f t="shared" ref="I7:K7" si="6">SUM(I8:I31)</f>
        <v>10994753.762749897</v>
      </c>
      <c r="J7" s="32">
        <f t="shared" si="6"/>
        <v>11418218.078967603</v>
      </c>
      <c r="K7" s="32">
        <f t="shared" si="6"/>
        <v>10059247.562427999</v>
      </c>
      <c r="L7" s="32">
        <f t="shared" ref="L7" si="7">SUM(L8:L31)</f>
        <v>13868362.613659305</v>
      </c>
      <c r="M7" s="1"/>
    </row>
    <row r="8" spans="1:16" ht="15" customHeight="1" x14ac:dyDescent="0.25">
      <c r="A8" s="11"/>
      <c r="B8" s="20" t="s">
        <v>3</v>
      </c>
      <c r="C8" s="4">
        <v>254565.04</v>
      </c>
      <c r="D8" s="26">
        <v>245913.60000000001</v>
      </c>
      <c r="E8" s="26">
        <v>50659.49</v>
      </c>
      <c r="F8" s="33">
        <v>67389.163611347205</v>
      </c>
      <c r="G8" s="33">
        <v>86311.019224394389</v>
      </c>
      <c r="H8" s="33">
        <v>96663.694046961318</v>
      </c>
      <c r="I8" s="33">
        <v>102766.09749999999</v>
      </c>
      <c r="J8" s="33">
        <v>80268</v>
      </c>
      <c r="K8" s="33">
        <v>90098.373175200002</v>
      </c>
      <c r="L8" s="38">
        <v>116520.82316968363</v>
      </c>
      <c r="M8" s="1"/>
    </row>
    <row r="9" spans="1:16" ht="15" customHeight="1" x14ac:dyDescent="0.25">
      <c r="A9" s="11"/>
      <c r="B9" s="20" t="s">
        <v>24</v>
      </c>
      <c r="C9" s="4">
        <v>256826.82</v>
      </c>
      <c r="D9" s="26">
        <v>337123.4050000002</v>
      </c>
      <c r="E9" s="26">
        <v>411218.79600000009</v>
      </c>
      <c r="F9" s="33">
        <v>330626.50239502767</v>
      </c>
      <c r="G9" s="33">
        <v>319480.58748406288</v>
      </c>
      <c r="H9" s="33">
        <v>321801.76022991922</v>
      </c>
      <c r="I9" s="33">
        <v>362901.29550000018</v>
      </c>
      <c r="J9" s="33">
        <v>369352</v>
      </c>
      <c r="K9" s="33">
        <v>359450.19688120001</v>
      </c>
      <c r="L9" s="38">
        <v>538556.93972587655</v>
      </c>
      <c r="M9" s="1"/>
    </row>
    <row r="10" spans="1:16" ht="15" customHeight="1" x14ac:dyDescent="0.25">
      <c r="A10" s="11"/>
      <c r="B10" s="20" t="s">
        <v>4</v>
      </c>
      <c r="C10" s="4">
        <v>139036.00100000008</v>
      </c>
      <c r="D10" s="26">
        <v>229067.61750000002</v>
      </c>
      <c r="E10" s="26">
        <v>257212.42550000004</v>
      </c>
      <c r="F10" s="33">
        <v>212368.72050000002</v>
      </c>
      <c r="G10" s="33">
        <v>222911.69500000001</v>
      </c>
      <c r="H10" s="33">
        <v>197591.44670314551</v>
      </c>
      <c r="I10" s="33">
        <v>244905.05800000031</v>
      </c>
      <c r="J10" s="33">
        <v>282589.7123972</v>
      </c>
      <c r="K10" s="33">
        <v>259748.87675610001</v>
      </c>
      <c r="L10" s="38">
        <v>361963.25827279093</v>
      </c>
      <c r="M10" s="1"/>
    </row>
    <row r="11" spans="1:16" ht="15" customHeight="1" x14ac:dyDescent="0.25">
      <c r="A11" s="11"/>
      <c r="B11" s="20" t="s">
        <v>5</v>
      </c>
      <c r="C11" s="4">
        <v>681530.79499999911</v>
      </c>
      <c r="D11" s="26">
        <v>747484.5</v>
      </c>
      <c r="E11" s="26">
        <v>788260.51500000001</v>
      </c>
      <c r="F11" s="33">
        <v>747419.85099999979</v>
      </c>
      <c r="G11" s="33">
        <v>725312.12250000006</v>
      </c>
      <c r="H11" s="33">
        <v>760943.41001571063</v>
      </c>
      <c r="I11" s="33">
        <v>744891.40775000036</v>
      </c>
      <c r="J11" s="33">
        <v>752393.14052220003</v>
      </c>
      <c r="K11" s="33">
        <v>591801.63238129998</v>
      </c>
      <c r="L11" s="38">
        <v>801264.8780496699</v>
      </c>
      <c r="M11" s="1"/>
    </row>
    <row r="12" spans="1:16" ht="15" customHeight="1" x14ac:dyDescent="0.25">
      <c r="A12" s="11"/>
      <c r="B12" s="20" t="s">
        <v>6</v>
      </c>
      <c r="C12" s="4">
        <v>206913.24249999999</v>
      </c>
      <c r="D12" s="26">
        <v>307125.32499999978</v>
      </c>
      <c r="E12" s="26">
        <v>309526.70849999943</v>
      </c>
      <c r="F12" s="33">
        <v>322072.9915</v>
      </c>
      <c r="G12" s="33">
        <v>314194.80425626866</v>
      </c>
      <c r="H12" s="33">
        <v>349562.4572732682</v>
      </c>
      <c r="I12" s="33">
        <v>362681.49149999861</v>
      </c>
      <c r="J12" s="33">
        <v>390511.89428090001</v>
      </c>
      <c r="K12" s="33">
        <v>313198.72147470003</v>
      </c>
      <c r="L12" s="38">
        <v>426026.57351252902</v>
      </c>
      <c r="M12" s="1"/>
    </row>
    <row r="13" spans="1:16" ht="15" customHeight="1" x14ac:dyDescent="0.25">
      <c r="A13" s="11"/>
      <c r="B13" s="20" t="s">
        <v>7</v>
      </c>
      <c r="C13" s="4">
        <v>198749.1</v>
      </c>
      <c r="D13" s="26">
        <v>215546.80000000002</v>
      </c>
      <c r="E13" s="26">
        <v>258696.44749999998</v>
      </c>
      <c r="F13" s="33">
        <v>261730.02993710156</v>
      </c>
      <c r="G13" s="33">
        <v>263959.70697407564</v>
      </c>
      <c r="H13" s="33">
        <v>281685.1839392265</v>
      </c>
      <c r="I13" s="33">
        <v>338154.54099999997</v>
      </c>
      <c r="J13" s="33">
        <v>376687</v>
      </c>
      <c r="K13" s="33">
        <v>380369.30406679999</v>
      </c>
      <c r="L13" s="38">
        <v>529044.53822125867</v>
      </c>
      <c r="M13" s="1"/>
    </row>
    <row r="14" spans="1:16" ht="15" customHeight="1" x14ac:dyDescent="0.25">
      <c r="A14" s="11"/>
      <c r="B14" s="20" t="s">
        <v>8</v>
      </c>
      <c r="C14" s="4">
        <v>437874.76649999997</v>
      </c>
      <c r="D14" s="26">
        <v>526227.1</v>
      </c>
      <c r="E14" s="26">
        <v>499835.56</v>
      </c>
      <c r="F14" s="33">
        <v>416097.9470000001</v>
      </c>
      <c r="G14" s="33">
        <v>433792.89999999997</v>
      </c>
      <c r="H14" s="33">
        <v>416057.78849999502</v>
      </c>
      <c r="I14" s="33">
        <v>470974.15499999933</v>
      </c>
      <c r="J14" s="33">
        <v>466274.5788814</v>
      </c>
      <c r="K14" s="33">
        <v>371114.02829250001</v>
      </c>
      <c r="L14" s="38">
        <v>559685.06556872185</v>
      </c>
      <c r="M14" s="1"/>
    </row>
    <row r="15" spans="1:16" ht="15" customHeight="1" x14ac:dyDescent="0.25">
      <c r="A15" s="11"/>
      <c r="B15" s="20" t="s">
        <v>9</v>
      </c>
      <c r="C15" s="4">
        <v>66508</v>
      </c>
      <c r="D15" s="26">
        <v>83341.522499999992</v>
      </c>
      <c r="E15" s="26">
        <v>167392.84249999997</v>
      </c>
      <c r="F15" s="33">
        <v>182010.69249999998</v>
      </c>
      <c r="G15" s="33">
        <v>90699.941000000006</v>
      </c>
      <c r="H15" s="33">
        <v>83815.676500000001</v>
      </c>
      <c r="I15" s="33">
        <v>46559.728500000027</v>
      </c>
      <c r="J15" s="33">
        <v>27074</v>
      </c>
      <c r="K15" s="33">
        <v>52159.509787399998</v>
      </c>
      <c r="L15" s="38">
        <v>81474.130887305728</v>
      </c>
      <c r="M15" s="1"/>
    </row>
    <row r="16" spans="1:16" ht="15" customHeight="1" x14ac:dyDescent="0.25">
      <c r="A16" s="11"/>
      <c r="B16" s="20" t="s">
        <v>10</v>
      </c>
      <c r="C16" s="4">
        <v>177581.28</v>
      </c>
      <c r="D16" s="26">
        <v>209900.07500000013</v>
      </c>
      <c r="E16" s="26">
        <v>263518.30750000011</v>
      </c>
      <c r="F16" s="33">
        <v>272740.23907989805</v>
      </c>
      <c r="G16" s="33">
        <v>220349.82912154697</v>
      </c>
      <c r="H16" s="33">
        <v>212760.29676986826</v>
      </c>
      <c r="I16" s="33">
        <v>209871.68550000069</v>
      </c>
      <c r="J16" s="33">
        <v>225674</v>
      </c>
      <c r="K16" s="33">
        <v>235394.14263660001</v>
      </c>
      <c r="L16" s="38">
        <v>297467.96768769808</v>
      </c>
      <c r="M16" s="1"/>
    </row>
    <row r="17" spans="1:13" ht="15" customHeight="1" x14ac:dyDescent="0.25">
      <c r="A17" s="17"/>
      <c r="B17" s="19" t="s">
        <v>11</v>
      </c>
      <c r="C17" s="27">
        <v>339585.75</v>
      </c>
      <c r="D17" s="28">
        <v>528414.5475000001</v>
      </c>
      <c r="E17" s="28">
        <v>500708.19500000367</v>
      </c>
      <c r="F17" s="34">
        <v>520580.94901699963</v>
      </c>
      <c r="G17" s="34">
        <v>515811.41665639624</v>
      </c>
      <c r="H17" s="34">
        <v>549725.48637590336</v>
      </c>
      <c r="I17" s="34">
        <v>566356.39650001039</v>
      </c>
      <c r="J17" s="34">
        <v>655474.08034290001</v>
      </c>
      <c r="K17" s="34">
        <v>541713.69647670002</v>
      </c>
      <c r="L17" s="39">
        <v>750848.89493002952</v>
      </c>
      <c r="M17" s="15"/>
    </row>
    <row r="18" spans="1:13" ht="15" customHeight="1" x14ac:dyDescent="0.25">
      <c r="A18" s="11"/>
      <c r="B18" s="20" t="s">
        <v>12</v>
      </c>
      <c r="C18" s="4">
        <v>521465.17</v>
      </c>
      <c r="D18" s="26">
        <v>545130.73200000066</v>
      </c>
      <c r="E18" s="26">
        <v>582029.03200000222</v>
      </c>
      <c r="F18" s="33">
        <v>633470.74290416518</v>
      </c>
      <c r="G18" s="33">
        <v>656547.78117127065</v>
      </c>
      <c r="H18" s="33">
        <v>614747.97182299185</v>
      </c>
      <c r="I18" s="33">
        <v>661095.77700002829</v>
      </c>
      <c r="J18" s="33">
        <v>684811</v>
      </c>
      <c r="K18" s="33">
        <v>577623.44573479996</v>
      </c>
      <c r="L18" s="38">
        <v>778659.14138005034</v>
      </c>
      <c r="M18" s="1"/>
    </row>
    <row r="19" spans="1:13" ht="15" customHeight="1" x14ac:dyDescent="0.25">
      <c r="A19" s="11"/>
      <c r="B19" s="20" t="s">
        <v>13</v>
      </c>
      <c r="C19" s="4">
        <v>596935.65</v>
      </c>
      <c r="D19" s="26">
        <v>652776.40500000003</v>
      </c>
      <c r="E19" s="26">
        <v>691172.54000000015</v>
      </c>
      <c r="F19" s="33">
        <v>658209.87085076491</v>
      </c>
      <c r="G19" s="33">
        <v>632470.89197216323</v>
      </c>
      <c r="H19" s="33">
        <v>650119.89072739996</v>
      </c>
      <c r="I19" s="33">
        <v>682539.82400000002</v>
      </c>
      <c r="J19" s="33">
        <v>774906</v>
      </c>
      <c r="K19" s="33">
        <v>720108.26476349996</v>
      </c>
      <c r="L19" s="38">
        <v>977733.48468092002</v>
      </c>
      <c r="M19" s="1"/>
    </row>
    <row r="20" spans="1:13" ht="15" customHeight="1" x14ac:dyDescent="0.25">
      <c r="A20" s="11"/>
      <c r="B20" s="20" t="s">
        <v>14</v>
      </c>
      <c r="C20" s="4">
        <v>486950.81</v>
      </c>
      <c r="D20" s="26">
        <v>508380.52</v>
      </c>
      <c r="E20" s="26">
        <v>493263.38</v>
      </c>
      <c r="F20" s="33">
        <v>547399.98682022945</v>
      </c>
      <c r="G20" s="33">
        <v>565793.23085125373</v>
      </c>
      <c r="H20" s="33">
        <v>579999.17235805362</v>
      </c>
      <c r="I20" s="33">
        <v>559299.11199999996</v>
      </c>
      <c r="J20" s="33">
        <v>519459</v>
      </c>
      <c r="K20" s="33">
        <v>494043.27060739999</v>
      </c>
      <c r="L20" s="38">
        <v>675383.04452503962</v>
      </c>
      <c r="M20" s="1"/>
    </row>
    <row r="21" spans="1:13" ht="15" customHeight="1" x14ac:dyDescent="0.25">
      <c r="A21" s="11"/>
      <c r="B21" s="21" t="s">
        <v>28</v>
      </c>
      <c r="C21" s="4">
        <v>3472616.12</v>
      </c>
      <c r="D21" s="26">
        <v>3978824.8340000045</v>
      </c>
      <c r="E21" s="26">
        <v>3950379.2194999903</v>
      </c>
      <c r="F21" s="33">
        <v>4033452.7180465376</v>
      </c>
      <c r="G21" s="33">
        <v>3775195.7837339565</v>
      </c>
      <c r="H21" s="33">
        <v>3581573.1389999995</v>
      </c>
      <c r="I21" s="33">
        <v>3482637.6539998599</v>
      </c>
      <c r="J21" s="33">
        <v>3469822.0310430001</v>
      </c>
      <c r="K21" s="33">
        <v>2948929.6771153002</v>
      </c>
      <c r="L21" s="38">
        <v>3887183.7476613731</v>
      </c>
      <c r="M21" s="1"/>
    </row>
    <row r="22" spans="1:13" ht="15" customHeight="1" x14ac:dyDescent="0.25">
      <c r="A22" s="11"/>
      <c r="B22" s="20" t="s">
        <v>15</v>
      </c>
      <c r="C22" s="4">
        <v>121079.93000000001</v>
      </c>
      <c r="D22" s="26">
        <v>125390.95000000003</v>
      </c>
      <c r="E22" s="26">
        <v>133857.35800000001</v>
      </c>
      <c r="F22" s="33">
        <v>127184.69499999998</v>
      </c>
      <c r="G22" s="33">
        <v>139885.08942945179</v>
      </c>
      <c r="H22" s="33">
        <v>155557.5845356991</v>
      </c>
      <c r="I22" s="33">
        <v>161690.65249999985</v>
      </c>
      <c r="J22" s="33">
        <v>156413</v>
      </c>
      <c r="K22" s="33">
        <v>147729.80919599999</v>
      </c>
      <c r="L22" s="38">
        <v>220310.63934545562</v>
      </c>
      <c r="M22" s="1"/>
    </row>
    <row r="23" spans="1:13" ht="15" customHeight="1" x14ac:dyDescent="0.25">
      <c r="A23" s="11"/>
      <c r="B23" s="21" t="s">
        <v>16</v>
      </c>
      <c r="C23" s="4">
        <v>44934.478499999983</v>
      </c>
      <c r="D23" s="26">
        <v>42811</v>
      </c>
      <c r="E23" s="26">
        <v>45919.08</v>
      </c>
      <c r="F23" s="33">
        <v>41733.024999999994</v>
      </c>
      <c r="G23" s="33">
        <v>59194.594999999994</v>
      </c>
      <c r="H23" s="33">
        <v>42854.659999999829</v>
      </c>
      <c r="I23" s="33">
        <v>46679.197500000009</v>
      </c>
      <c r="J23" s="33">
        <v>35150.457999999999</v>
      </c>
      <c r="K23" s="33">
        <v>34145.906000000003</v>
      </c>
      <c r="L23" s="38">
        <v>54696.071999999993</v>
      </c>
      <c r="M23" s="1"/>
    </row>
    <row r="24" spans="1:13" ht="15" customHeight="1" x14ac:dyDescent="0.25">
      <c r="A24" s="11"/>
      <c r="B24" s="21" t="s">
        <v>17</v>
      </c>
      <c r="C24" s="4">
        <v>90092.66800000002</v>
      </c>
      <c r="D24" s="26">
        <v>96252.25</v>
      </c>
      <c r="E24" s="26">
        <v>92184.085000000006</v>
      </c>
      <c r="F24" s="33">
        <v>103692.77599999995</v>
      </c>
      <c r="G24" s="33">
        <v>120281.87249999995</v>
      </c>
      <c r="H24" s="33">
        <v>112640.78249999874</v>
      </c>
      <c r="I24" s="33">
        <v>165775.9250000001</v>
      </c>
      <c r="J24" s="33">
        <v>180724.14799999999</v>
      </c>
      <c r="K24" s="33">
        <v>133903.05799999999</v>
      </c>
      <c r="L24" s="38">
        <v>194467.6930000002</v>
      </c>
      <c r="M24" s="1"/>
    </row>
    <row r="25" spans="1:13" ht="15" customHeight="1" x14ac:dyDescent="0.25">
      <c r="A25" s="11"/>
      <c r="B25" s="20" t="s">
        <v>18</v>
      </c>
      <c r="C25" s="4">
        <v>121128</v>
      </c>
      <c r="D25" s="26">
        <v>139457.10749999993</v>
      </c>
      <c r="E25" s="26">
        <v>118537.98499999996</v>
      </c>
      <c r="F25" s="33">
        <v>100392.808</v>
      </c>
      <c r="G25" s="33">
        <v>113569.24950000001</v>
      </c>
      <c r="H25" s="33">
        <v>131601.15834062899</v>
      </c>
      <c r="I25" s="33">
        <v>153812.71600000039</v>
      </c>
      <c r="J25" s="33">
        <v>150707</v>
      </c>
      <c r="K25" s="33">
        <v>118124.8113148</v>
      </c>
      <c r="L25" s="38">
        <v>194128.12858259777</v>
      </c>
      <c r="M25" s="1"/>
    </row>
    <row r="26" spans="1:13" ht="15" customHeight="1" x14ac:dyDescent="0.25">
      <c r="A26" s="11"/>
      <c r="B26" s="21" t="s">
        <v>19</v>
      </c>
      <c r="C26" s="4">
        <v>328891</v>
      </c>
      <c r="D26" s="26">
        <v>397544.3125</v>
      </c>
      <c r="E26" s="26">
        <v>408988.09249999997</v>
      </c>
      <c r="F26" s="33">
        <v>444500.63228750537</v>
      </c>
      <c r="G26" s="33">
        <v>427589.58972503181</v>
      </c>
      <c r="H26" s="33">
        <v>388638.04199999996</v>
      </c>
      <c r="I26" s="33">
        <v>482359.36999999994</v>
      </c>
      <c r="J26" s="33">
        <v>572036</v>
      </c>
      <c r="K26" s="33">
        <v>558898.80764370004</v>
      </c>
      <c r="L26" s="38">
        <v>798644.85406425735</v>
      </c>
      <c r="M26" s="1"/>
    </row>
    <row r="27" spans="1:13" ht="15" customHeight="1" x14ac:dyDescent="0.25">
      <c r="A27" s="11"/>
      <c r="B27" s="20" t="s">
        <v>20</v>
      </c>
      <c r="C27" s="4">
        <v>482114.38900000002</v>
      </c>
      <c r="D27" s="26">
        <v>515920</v>
      </c>
      <c r="E27" s="26">
        <v>496428.78</v>
      </c>
      <c r="F27" s="33">
        <v>481198.17050000012</v>
      </c>
      <c r="G27" s="33">
        <v>541993.59850000008</v>
      </c>
      <c r="H27" s="33">
        <v>578810.04750000802</v>
      </c>
      <c r="I27" s="33">
        <v>543596.24250000075</v>
      </c>
      <c r="J27" s="33">
        <v>618502.47100000002</v>
      </c>
      <c r="K27" s="33">
        <v>538493.54099999997</v>
      </c>
      <c r="L27" s="38">
        <v>749032.12400000007</v>
      </c>
      <c r="M27" s="1"/>
    </row>
    <row r="28" spans="1:13" ht="15" customHeight="1" x14ac:dyDescent="0.25">
      <c r="A28" s="11"/>
      <c r="B28" s="20" t="s">
        <v>21</v>
      </c>
      <c r="C28" s="4">
        <v>198646.95</v>
      </c>
      <c r="D28" s="26">
        <v>196843.45</v>
      </c>
      <c r="E28" s="26">
        <v>204591.13999999996</v>
      </c>
      <c r="F28" s="33">
        <v>214269.95099065022</v>
      </c>
      <c r="G28" s="33">
        <v>234051.1545</v>
      </c>
      <c r="H28" s="33">
        <v>241848.32629090524</v>
      </c>
      <c r="I28" s="33">
        <v>242101.84100000001</v>
      </c>
      <c r="J28" s="33">
        <v>265295</v>
      </c>
      <c r="K28" s="33">
        <v>267461.12809140002</v>
      </c>
      <c r="L28" s="38">
        <v>367655.3266470246</v>
      </c>
      <c r="M28" s="1"/>
    </row>
    <row r="29" spans="1:13" ht="15" customHeight="1" x14ac:dyDescent="0.25">
      <c r="A29" s="11"/>
      <c r="B29" s="20" t="s">
        <v>22</v>
      </c>
      <c r="C29" s="4">
        <v>153632.44650000017</v>
      </c>
      <c r="D29" s="26">
        <v>165144.5675</v>
      </c>
      <c r="E29" s="26">
        <v>143721.8505</v>
      </c>
      <c r="F29" s="33">
        <v>144888.58100000006</v>
      </c>
      <c r="G29" s="33">
        <v>169003.48250000001</v>
      </c>
      <c r="H29" s="33">
        <v>193252.55750000206</v>
      </c>
      <c r="I29" s="33">
        <v>161402.30750000002</v>
      </c>
      <c r="J29" s="33">
        <v>148383.56450000001</v>
      </c>
      <c r="K29" s="33">
        <v>127635.467</v>
      </c>
      <c r="L29" s="38">
        <v>180183.8020000002</v>
      </c>
      <c r="M29" s="1"/>
    </row>
    <row r="30" spans="1:13" ht="15" customHeight="1" x14ac:dyDescent="0.25">
      <c r="A30" s="11"/>
      <c r="B30" s="20" t="s">
        <v>25</v>
      </c>
      <c r="C30" s="4">
        <v>56703</v>
      </c>
      <c r="D30" s="26">
        <v>56188.95</v>
      </c>
      <c r="E30" s="26">
        <v>57429.247499999998</v>
      </c>
      <c r="F30" s="33">
        <v>55127.920000000006</v>
      </c>
      <c r="G30" s="33">
        <v>56469.609185082874</v>
      </c>
      <c r="H30" s="33">
        <v>52555.189211644712</v>
      </c>
      <c r="I30" s="33">
        <v>61117.773499999996</v>
      </c>
      <c r="J30" s="33">
        <v>73803</v>
      </c>
      <c r="K30" s="33">
        <v>63778.890533700003</v>
      </c>
      <c r="L30" s="38">
        <v>96570.059955707562</v>
      </c>
      <c r="M30" s="1"/>
    </row>
    <row r="31" spans="1:13" ht="15" customHeight="1" x14ac:dyDescent="0.25">
      <c r="A31" s="11"/>
      <c r="B31" s="20" t="s">
        <v>23</v>
      </c>
      <c r="C31" s="25">
        <v>81627.78</v>
      </c>
      <c r="D31" s="4">
        <v>109795.03500000012</v>
      </c>
      <c r="E31" s="4">
        <v>106755.49999999997</v>
      </c>
      <c r="F31" s="35">
        <v>101267.86284976626</v>
      </c>
      <c r="G31" s="35">
        <v>110896.67979430515</v>
      </c>
      <c r="H31" s="33">
        <v>113543.93219528263</v>
      </c>
      <c r="I31" s="33">
        <v>140583.51349999956</v>
      </c>
      <c r="J31" s="33">
        <v>141907</v>
      </c>
      <c r="K31" s="33">
        <v>133323.00349890001</v>
      </c>
      <c r="L31" s="38">
        <v>230861.42579131422</v>
      </c>
      <c r="M31" s="1"/>
    </row>
    <row r="32" spans="1:13" ht="3" customHeight="1" x14ac:dyDescent="0.25">
      <c r="A32" s="11"/>
      <c r="B32" s="22"/>
      <c r="C32" s="5"/>
      <c r="D32" s="6"/>
      <c r="E32" s="6"/>
      <c r="F32" s="6"/>
      <c r="G32" s="6"/>
      <c r="H32" s="6"/>
      <c r="I32" s="6"/>
      <c r="J32" s="6"/>
      <c r="K32" s="6"/>
      <c r="L32" s="6"/>
      <c r="M32" s="1"/>
    </row>
    <row r="33" spans="1:13" ht="12" customHeight="1" x14ac:dyDescent="0.25">
      <c r="A33" s="11"/>
      <c r="B33" s="41" t="s">
        <v>29</v>
      </c>
      <c r="C33" s="1"/>
      <c r="D33" s="40"/>
      <c r="E33" s="40"/>
      <c r="F33" s="40"/>
      <c r="G33" s="40"/>
      <c r="H33" s="40"/>
      <c r="I33" s="40"/>
      <c r="J33" s="40"/>
      <c r="K33" s="40"/>
      <c r="L33" s="40"/>
      <c r="M33" s="1"/>
    </row>
    <row r="34" spans="1:13" ht="11.25" customHeight="1" x14ac:dyDescent="0.25">
      <c r="A34" s="11"/>
      <c r="B34" s="7" t="s">
        <v>27</v>
      </c>
      <c r="C34" s="8"/>
      <c r="D34" s="9"/>
      <c r="E34" s="9"/>
      <c r="F34" s="8"/>
      <c r="G34" s="1"/>
      <c r="H34" s="1"/>
      <c r="I34" s="1"/>
      <c r="J34" s="1"/>
      <c r="K34" s="1"/>
      <c r="L34" s="1"/>
      <c r="M34" s="1"/>
    </row>
    <row r="35" spans="1:13" ht="13.5" x14ac:dyDescent="0.25">
      <c r="A35" s="11"/>
      <c r="B35" s="12"/>
      <c r="C35" s="8"/>
      <c r="D35" s="8"/>
      <c r="E35" s="8"/>
      <c r="F35" s="8"/>
      <c r="G35" s="1"/>
      <c r="H35" s="1"/>
      <c r="I35" s="1"/>
      <c r="J35" s="1"/>
      <c r="K35" s="1"/>
      <c r="L35" s="1"/>
      <c r="M35" s="1"/>
    </row>
    <row r="36" spans="1:13" ht="13.5" x14ac:dyDescent="0.25">
      <c r="A36" s="11"/>
      <c r="B36" s="8"/>
      <c r="C36" s="8"/>
      <c r="D36" s="8"/>
      <c r="E36" s="8"/>
      <c r="F36" s="8"/>
      <c r="G36" s="8"/>
      <c r="H36" s="8"/>
      <c r="I36" s="8"/>
      <c r="J36" s="8"/>
      <c r="K36" s="8"/>
      <c r="L36" s="8"/>
      <c r="M36" s="1"/>
    </row>
    <row r="37" spans="1:13" ht="13.5" x14ac:dyDescent="0.25">
      <c r="A37" s="11"/>
      <c r="B37" s="8"/>
      <c r="C37" s="8"/>
      <c r="D37" s="8"/>
      <c r="E37" s="8"/>
      <c r="F37" s="8"/>
      <c r="G37" s="8"/>
      <c r="H37" s="8"/>
      <c r="I37" s="8"/>
      <c r="J37" s="8"/>
      <c r="K37" s="8"/>
      <c r="L37" s="29"/>
      <c r="M37" s="29"/>
    </row>
    <row r="38" spans="1:13" ht="13.5" x14ac:dyDescent="0.25">
      <c r="A38" s="11"/>
      <c r="B38" s="8"/>
      <c r="C38" s="8"/>
      <c r="D38" s="8"/>
      <c r="E38" s="8"/>
      <c r="F38" s="8"/>
      <c r="G38" s="8"/>
      <c r="H38" s="8"/>
      <c r="I38" s="8"/>
      <c r="J38" s="8"/>
      <c r="K38" s="8"/>
      <c r="L38" s="29"/>
      <c r="M38" s="29"/>
    </row>
    <row r="39" spans="1:13" ht="13.5" x14ac:dyDescent="0.25">
      <c r="A39" s="13"/>
      <c r="B39" s="1"/>
      <c r="C39" s="1"/>
      <c r="D39" s="8"/>
      <c r="E39" s="8"/>
      <c r="F39" s="8"/>
      <c r="G39" s="8"/>
      <c r="H39" s="8"/>
      <c r="I39" s="8"/>
      <c r="J39" s="8"/>
      <c r="K39" s="8"/>
      <c r="L39" s="30">
        <v>2014</v>
      </c>
      <c r="M39" s="31">
        <v>500.70800000000003</v>
      </c>
    </row>
    <row r="40" spans="1:13" ht="13.5" x14ac:dyDescent="0.25">
      <c r="A40" s="13"/>
      <c r="B40" s="1"/>
      <c r="C40" s="1"/>
      <c r="D40" s="8"/>
      <c r="E40" s="8"/>
      <c r="F40" s="8"/>
      <c r="G40" s="8"/>
      <c r="H40" s="8"/>
      <c r="I40" s="8"/>
      <c r="J40" s="8"/>
      <c r="K40" s="8"/>
      <c r="L40" s="30">
        <v>2015</v>
      </c>
      <c r="M40" s="31">
        <v>520.58100000000002</v>
      </c>
    </row>
    <row r="41" spans="1:13" ht="13.5" x14ac:dyDescent="0.25">
      <c r="A41" s="13"/>
      <c r="B41" s="1"/>
      <c r="C41" s="1"/>
      <c r="D41" s="8"/>
      <c r="E41" s="8"/>
      <c r="F41" s="8"/>
      <c r="G41" s="8"/>
      <c r="H41" s="8"/>
      <c r="I41" s="8"/>
      <c r="J41" s="8"/>
      <c r="K41" s="8"/>
      <c r="L41" s="30">
        <v>2016</v>
      </c>
      <c r="M41" s="31">
        <v>515.81100000000004</v>
      </c>
    </row>
    <row r="42" spans="1:13" ht="13.5" x14ac:dyDescent="0.25">
      <c r="A42" s="13"/>
      <c r="B42" s="1"/>
      <c r="C42" s="1"/>
      <c r="D42" s="8"/>
      <c r="E42" s="8"/>
      <c r="F42" s="8"/>
      <c r="G42" s="8"/>
      <c r="H42" s="8"/>
      <c r="I42" s="8"/>
      <c r="J42" s="8"/>
      <c r="K42" s="8"/>
      <c r="L42" s="30">
        <v>2017</v>
      </c>
      <c r="M42" s="31">
        <v>549.72500000000002</v>
      </c>
    </row>
    <row r="43" spans="1:13" ht="13.5" x14ac:dyDescent="0.25">
      <c r="A43" s="13"/>
      <c r="B43" s="14"/>
      <c r="C43" s="1"/>
      <c r="D43" s="8"/>
      <c r="E43" s="8"/>
      <c r="F43" s="8"/>
      <c r="G43" s="8"/>
      <c r="H43" s="8"/>
      <c r="I43" s="8"/>
      <c r="J43" s="8"/>
      <c r="K43" s="8"/>
      <c r="L43" s="30">
        <v>2018</v>
      </c>
      <c r="M43" s="31">
        <v>566.35599999999999</v>
      </c>
    </row>
    <row r="44" spans="1:13" ht="13.5" x14ac:dyDescent="0.25">
      <c r="A44" s="13"/>
      <c r="B44" s="14"/>
      <c r="C44" s="1"/>
      <c r="D44" s="8"/>
      <c r="E44" s="8"/>
      <c r="F44" s="8"/>
      <c r="G44" s="8"/>
      <c r="H44" s="8"/>
      <c r="I44" s="8"/>
      <c r="J44" s="8"/>
      <c r="K44" s="8"/>
      <c r="L44" s="30">
        <v>2019</v>
      </c>
      <c r="M44" s="37">
        <v>655.47400000000005</v>
      </c>
    </row>
    <row r="45" spans="1:13" ht="13.5" x14ac:dyDescent="0.25">
      <c r="A45" s="13"/>
      <c r="B45" s="43"/>
      <c r="C45" s="1"/>
      <c r="D45" s="8"/>
      <c r="E45" s="8"/>
      <c r="F45" s="8"/>
      <c r="G45" s="8"/>
      <c r="H45" s="8"/>
      <c r="I45" s="8"/>
      <c r="J45" s="8"/>
      <c r="K45" s="8"/>
      <c r="L45" s="30">
        <v>2020</v>
      </c>
      <c r="M45" s="37">
        <v>541.71400000000006</v>
      </c>
    </row>
    <row r="46" spans="1:13" ht="13.5" x14ac:dyDescent="0.25">
      <c r="A46" s="13"/>
      <c r="B46" s="43"/>
      <c r="C46" s="1"/>
      <c r="D46" s="8"/>
      <c r="E46" s="8"/>
      <c r="F46" s="8"/>
      <c r="G46" s="8"/>
      <c r="H46" s="8"/>
      <c r="I46" s="8"/>
      <c r="J46" s="8"/>
      <c r="K46" s="8"/>
      <c r="L46" s="30">
        <v>2021</v>
      </c>
      <c r="M46" s="37">
        <v>750.85</v>
      </c>
    </row>
    <row r="47" spans="1:13" ht="13.5" x14ac:dyDescent="0.25">
      <c r="A47" s="13"/>
      <c r="B47" s="43"/>
      <c r="C47" s="1"/>
      <c r="D47" s="1"/>
      <c r="E47" s="1"/>
      <c r="F47" s="1"/>
      <c r="G47" s="1"/>
      <c r="H47" s="1"/>
      <c r="I47" s="1"/>
      <c r="J47" s="1"/>
      <c r="K47" s="1"/>
      <c r="L47" s="29"/>
      <c r="M47" s="29"/>
    </row>
    <row r="48" spans="1:13" ht="13.5" x14ac:dyDescent="0.25">
      <c r="A48" s="13"/>
      <c r="B48" s="1"/>
      <c r="C48" s="1"/>
      <c r="D48" s="1"/>
      <c r="E48" s="1"/>
      <c r="F48" s="1"/>
      <c r="G48" s="1"/>
      <c r="H48" s="1"/>
      <c r="I48" s="1"/>
      <c r="J48" s="1"/>
      <c r="K48" s="1"/>
      <c r="L48" s="29"/>
      <c r="M48" s="29"/>
    </row>
    <row r="49" spans="1:13" ht="13.5" x14ac:dyDescent="0.25">
      <c r="A49" s="13"/>
      <c r="B49" s="3"/>
      <c r="C49" s="1"/>
      <c r="D49" s="1"/>
      <c r="E49" s="1"/>
      <c r="F49" s="1"/>
      <c r="G49" s="1"/>
      <c r="H49" s="1"/>
      <c r="I49" s="1"/>
      <c r="J49" s="1"/>
      <c r="K49" s="1"/>
      <c r="L49" s="29"/>
      <c r="M49" s="29"/>
    </row>
    <row r="50" spans="1:13" ht="13.5" x14ac:dyDescent="0.25">
      <c r="A50" s="13"/>
      <c r="B50" s="1"/>
      <c r="C50" s="1"/>
      <c r="D50" s="1"/>
      <c r="E50" s="1"/>
      <c r="F50" s="1"/>
      <c r="G50" s="1"/>
      <c r="H50" s="1"/>
      <c r="I50" s="1"/>
      <c r="J50" s="1"/>
      <c r="K50" s="1"/>
      <c r="L50" s="36"/>
      <c r="M50" s="36"/>
    </row>
    <row r="53" spans="1:13" ht="12.75" customHeight="1" x14ac:dyDescent="0.2">
      <c r="H53" s="42"/>
    </row>
  </sheetData>
  <mergeCells count="1">
    <mergeCell ref="B45:B47"/>
  </mergeCells>
  <phoneticPr fontId="0" type="noConversion"/>
  <printOptions horizontalCentered="1"/>
  <pageMargins left="0.59055118110236227" right="0.78740157480314965" top="0.78740157480314965" bottom="0.19685039370078741" header="0" footer="0"/>
  <pageSetup paperSize="9" orientation="portrait" horizontalDpi="120" verticalDpi="144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  17,3  </vt:lpstr>
      <vt:lpstr>'  17,3  '!Área_de_impresión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INEI</dc:creator>
  <cp:lastModifiedBy>LUIS CANO</cp:lastModifiedBy>
  <cp:lastPrinted>2014-09-21T17:37:58Z</cp:lastPrinted>
  <dcterms:created xsi:type="dcterms:W3CDTF">1999-09-02T22:33:04Z</dcterms:created>
  <dcterms:modified xsi:type="dcterms:W3CDTF">2022-12-15T17:24:09Z</dcterms:modified>
</cp:coreProperties>
</file>