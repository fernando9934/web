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3-Financiero\"/>
    </mc:Choice>
  </mc:AlternateContent>
  <bookViews>
    <workbookView xWindow="10305" yWindow="-240" windowWidth="10140" windowHeight="8175" tabRatio="298"/>
  </bookViews>
  <sheets>
    <sheet name="  23,9  " sheetId="1" r:id="rId1"/>
  </sheets>
  <definedNames>
    <definedName name="_xlnm.Print_Area" localSheetId="0">'  23,9  '!$B$2:$L$58</definedName>
  </definedNames>
  <calcPr calcId="162913"/>
</workbook>
</file>

<file path=xl/calcChain.xml><?xml version="1.0" encoding="utf-8"?>
<calcChain xmlns="http://schemas.openxmlformats.org/spreadsheetml/2006/main">
  <c r="K22" i="1" l="1"/>
  <c r="J22" i="1"/>
  <c r="I22" i="1"/>
  <c r="H22" i="1"/>
  <c r="G22" i="1"/>
  <c r="F22" i="1"/>
  <c r="E22" i="1"/>
  <c r="D22" i="1"/>
  <c r="C22" i="1"/>
  <c r="K14" i="1"/>
  <c r="J14" i="1"/>
  <c r="I14" i="1"/>
  <c r="H14" i="1"/>
  <c r="G14" i="1"/>
  <c r="F14" i="1"/>
  <c r="E14" i="1"/>
  <c r="D14" i="1"/>
  <c r="C14" i="1"/>
  <c r="L22" i="1" l="1"/>
  <c r="L14" i="1"/>
</calcChain>
</file>

<file path=xl/sharedStrings.xml><?xml version="1.0" encoding="utf-8"?>
<sst xmlns="http://schemas.openxmlformats.org/spreadsheetml/2006/main" count="19" uniqueCount="15">
  <si>
    <t>Créditos Directos</t>
  </si>
  <si>
    <t>Resto del País</t>
  </si>
  <si>
    <t>País</t>
  </si>
  <si>
    <t>Depósitos</t>
  </si>
  <si>
    <t>Ámbito</t>
  </si>
  <si>
    <t>Departamento Ica</t>
  </si>
  <si>
    <t>Fuente: Superintendencia de Banca y Seguros.</t>
  </si>
  <si>
    <t>Creditos Directos</t>
  </si>
  <si>
    <t>Depositos</t>
  </si>
  <si>
    <t xml:space="preserve">        (Miles de soles)</t>
  </si>
  <si>
    <t>A/ Acumulado al mes de Junio.</t>
  </si>
  <si>
    <t>2022 A/</t>
  </si>
  <si>
    <t>23.9  ICA: CRÉDITOS DIRECTOS Y DEPÓSITOS TOTALES DE LAS CAJAS MUNICIPALES, SEGÚN ÁMBITO, 2013 - 2022</t>
  </si>
  <si>
    <t>Jun 2022</t>
  </si>
  <si>
    <t xml:space="preserve">              Caja Municipal de Ahorro y Crédito de Ica.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</si>
</sst>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\ ###\ ###"/>
    <numFmt numFmtId="165" formatCode="##\ ###\ ###"/>
    <numFmt numFmtId="166" formatCode="0.0"/>
    <numFmt numFmtId="167" formatCode="#\ ###.0"/>
    <numFmt numFmtId="168" formatCode="#\ ###\ .#"/>
  </numFmts>
  <fonts count="13" x14ac:knownFonts="1">
    <font>
      <sz val="10"/>
      <name val="Arial"/>
    </font>
    <font>
      <b/>
      <sz val="8"/>
      <name val="Arial Narrow"/>
      <family val="2"/>
    </font>
    <font>
      <sz val="8"/>
      <name val="Arial Narrow"/>
      <family val="2"/>
    </font>
    <font>
      <b/>
      <sz val="7"/>
      <name val="Arial Narrow"/>
      <family val="2"/>
    </font>
    <font>
      <sz val="7"/>
      <name val="Arial Narrow"/>
      <family val="2"/>
    </font>
    <font>
      <b/>
      <sz val="8"/>
      <color indexed="10"/>
      <name val="Arial Narrow"/>
      <family val="2"/>
    </font>
    <font>
      <b/>
      <sz val="9"/>
      <name val="Arial Narrow"/>
      <family val="2"/>
    </font>
    <font>
      <sz val="8"/>
      <color theme="0"/>
      <name val="Arial Narrow"/>
      <family val="2"/>
    </font>
    <font>
      <sz val="10"/>
      <color theme="0"/>
      <name val="Arial"/>
      <family val="2"/>
    </font>
    <font>
      <sz val="8"/>
      <color rgb="FFFF0000"/>
      <name val="Arial Narrow"/>
      <family val="2"/>
    </font>
    <font>
      <sz val="8"/>
      <color rgb="FF0000FF"/>
      <name val="Arial Narrow"/>
      <family val="2"/>
    </font>
    <font>
      <sz val="10"/>
      <color rgb="FF0000FF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164" fontId="2" fillId="0" borderId="0" xfId="0" applyNumberFormat="1" applyFont="1" applyBorder="1" applyAlignment="1">
      <alignment horizontal="right"/>
    </xf>
    <xf numFmtId="0" fontId="2" fillId="0" borderId="2" xfId="0" applyFont="1" applyBorder="1"/>
    <xf numFmtId="0" fontId="3" fillId="0" borderId="0" xfId="0" applyFont="1"/>
    <xf numFmtId="165" fontId="2" fillId="0" borderId="0" xfId="0" applyNumberFormat="1" applyFont="1" applyBorder="1" applyAlignment="1">
      <alignment horizontal="right"/>
    </xf>
    <xf numFmtId="0" fontId="4" fillId="0" borderId="0" xfId="0" applyFont="1"/>
    <xf numFmtId="0" fontId="2" fillId="0" borderId="0" xfId="0" applyFont="1" applyProtection="1">
      <protection locked="0"/>
    </xf>
    <xf numFmtId="0" fontId="1" fillId="0" borderId="0" xfId="0" applyFont="1" applyBorder="1" applyAlignment="1">
      <alignment horizontal="center" vertical="center"/>
    </xf>
    <xf numFmtId="0" fontId="5" fillId="0" borderId="0" xfId="0" applyFont="1" applyProtection="1">
      <protection locked="0"/>
    </xf>
    <xf numFmtId="0" fontId="6" fillId="0" borderId="0" xfId="0" applyFont="1" applyAlignment="1">
      <alignment horizontal="left"/>
    </xf>
    <xf numFmtId="0" fontId="2" fillId="0" borderId="4" xfId="0" applyFont="1" applyBorder="1"/>
    <xf numFmtId="0" fontId="2" fillId="0" borderId="3" xfId="0" applyFont="1" applyBorder="1"/>
    <xf numFmtId="0" fontId="1" fillId="0" borderId="4" xfId="0" applyFont="1" applyBorder="1" applyAlignment="1">
      <alignment horizontal="left"/>
    </xf>
    <xf numFmtId="0" fontId="2" fillId="0" borderId="0" xfId="0" applyFont="1" applyBorder="1" applyAlignment="1">
      <alignment vertical="center"/>
    </xf>
    <xf numFmtId="0" fontId="1" fillId="0" borderId="1" xfId="0" applyFont="1" applyBorder="1" applyAlignment="1">
      <alignment horizontal="right"/>
    </xf>
    <xf numFmtId="165" fontId="2" fillId="0" borderId="0" xfId="0" applyNumberFormat="1" applyFont="1" applyAlignment="1">
      <alignment horizontal="right"/>
    </xf>
    <xf numFmtId="0" fontId="7" fillId="0" borderId="0" xfId="0" applyFont="1"/>
    <xf numFmtId="166" fontId="7" fillId="0" borderId="0" xfId="0" applyNumberFormat="1" applyFont="1"/>
    <xf numFmtId="17" fontId="7" fillId="0" borderId="0" xfId="0" quotePrefix="1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0" fontId="10" fillId="0" borderId="0" xfId="0" applyFont="1"/>
    <xf numFmtId="1" fontId="7" fillId="0" borderId="0" xfId="0" applyNumberFormat="1" applyFont="1" applyAlignment="1"/>
    <xf numFmtId="164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11" fillId="0" borderId="0" xfId="0" applyFont="1"/>
    <xf numFmtId="167" fontId="7" fillId="0" borderId="0" xfId="0" applyNumberFormat="1" applyFont="1"/>
    <xf numFmtId="168" fontId="7" fillId="0" borderId="0" xfId="0" applyNumberFormat="1" applyFont="1"/>
    <xf numFmtId="0" fontId="12" fillId="0" borderId="0" xfId="0" applyFont="1"/>
    <xf numFmtId="0" fontId="1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latin typeface="Arial Narrow" panose="020B0606020202030204" pitchFamily="34" charset="0"/>
              </a:rPr>
              <a:t>ICA: DEPÓSITOS</a:t>
            </a:r>
            <a:r>
              <a:rPr lang="en-US" sz="900" b="1" baseline="0">
                <a:latin typeface="Arial Narrow" panose="020B0606020202030204" pitchFamily="34" charset="0"/>
              </a:rPr>
              <a:t> DE LA</a:t>
            </a:r>
            <a:r>
              <a:rPr lang="en-US" sz="900" b="1">
                <a:latin typeface="Arial Narrow" panose="020B0606020202030204" pitchFamily="34" charset="0"/>
              </a:rPr>
              <a:t> CAJA MUNICIPAL, 2018 - 2022</a:t>
            </a:r>
          </a:p>
          <a:p>
            <a:pPr>
              <a:defRPr sz="900" b="1"/>
            </a:pPr>
            <a:r>
              <a:rPr lang="en-US" sz="800" b="0">
                <a:latin typeface="Arial Narrow" panose="020B0606020202030204" pitchFamily="34" charset="0"/>
              </a:rPr>
              <a:t>(Millones de soles)</a:t>
            </a:r>
          </a:p>
        </c:rich>
      </c:tx>
      <c:layout>
        <c:manualLayout>
          <c:xMode val="edge"/>
          <c:yMode val="edge"/>
          <c:x val="0.21077817975455773"/>
          <c:y val="1.58730158730158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3.4428794992175271E-2"/>
          <c:y val="0.22859767529058866"/>
          <c:w val="0.93114241001564946"/>
          <c:h val="0.600624505270174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23,9  '!$Q$45</c:f>
              <c:strCache>
                <c:ptCount val="1"/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 23,9  '!$P$46:$P$50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Jun 2022</c:v>
                </c:pt>
              </c:strCache>
            </c:strRef>
          </c:cat>
          <c:val>
            <c:numRef>
              <c:f>'  23,9  '!$Q$46:$Q$50</c:f>
              <c:numCache>
                <c:formatCode>0.0</c:formatCode>
                <c:ptCount val="5"/>
                <c:pt idx="0">
                  <c:v>781.86199999999997</c:v>
                </c:pt>
                <c:pt idx="1">
                  <c:v>874.69500000000005</c:v>
                </c:pt>
                <c:pt idx="2">
                  <c:v>980.98800000000006</c:v>
                </c:pt>
                <c:pt idx="3" formatCode="#\ ###\ .#">
                  <c:v>1034.5899999999999</c:v>
                </c:pt>
                <c:pt idx="4" formatCode="#\ ###\ .#">
                  <c:v>1072.8699999999999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5-4AC6-BEAE-D0FA2E112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0"/>
        <c:overlap val="100"/>
        <c:axId val="259825224"/>
        <c:axId val="259316280"/>
      </c:barChart>
      <c:catAx>
        <c:axId val="25982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>
                    <a:latin typeface="Arial Narrow" panose="020B0606020202030204" pitchFamily="34" charset="0"/>
                  </a:rPr>
                  <a:t>Fuente: Superintendencia de Banca, Seguro y AFP</a:t>
                </a:r>
              </a:p>
            </c:rich>
          </c:tx>
          <c:layout>
            <c:manualLayout>
              <c:xMode val="edge"/>
              <c:yMode val="edge"/>
              <c:x val="4.8125598881013178E-2"/>
              <c:y val="0.93555555555555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259316280"/>
        <c:crosses val="autoZero"/>
        <c:auto val="1"/>
        <c:lblAlgn val="ctr"/>
        <c:lblOffset val="100"/>
        <c:noMultiLvlLbl val="0"/>
      </c:catAx>
      <c:valAx>
        <c:axId val="259316280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25982522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sz="900" b="1">
                <a:latin typeface="Arial Narrow" panose="020B0606020202030204" pitchFamily="34" charset="0"/>
              </a:rPr>
              <a:t>      ICA: CRÉDITOS DIRECTOS</a:t>
            </a:r>
            <a:r>
              <a:rPr lang="en-US" sz="900" b="1" baseline="0">
                <a:latin typeface="Arial Narrow" panose="020B0606020202030204" pitchFamily="34" charset="0"/>
              </a:rPr>
              <a:t> DE LA</a:t>
            </a:r>
            <a:r>
              <a:rPr lang="en-US" sz="900" b="1">
                <a:latin typeface="Arial Narrow" panose="020B0606020202030204" pitchFamily="34" charset="0"/>
              </a:rPr>
              <a:t> CAJA MUNICIPAL, 2018 - 2022   </a:t>
            </a:r>
          </a:p>
          <a:p>
            <a:pPr>
              <a:defRPr sz="900" b="1">
                <a:latin typeface="Arial Narrow" panose="020B0606020202030204" pitchFamily="34" charset="0"/>
              </a:defRPr>
            </a:pPr>
            <a:r>
              <a:rPr lang="en-US" sz="800" b="0">
                <a:latin typeface="Arial Narrow" panose="020B0606020202030204" pitchFamily="34" charset="0"/>
              </a:rPr>
              <a:t>(Millones de soles) </a:t>
            </a:r>
          </a:p>
        </c:rich>
      </c:tx>
      <c:layout>
        <c:manualLayout>
          <c:xMode val="edge"/>
          <c:yMode val="edge"/>
          <c:x val="0.13059245099930439"/>
          <c:y val="1.581027667984189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1.1985018726591761E-2"/>
          <c:y val="0.21624184328737564"/>
          <c:w val="0.94307116104868915"/>
          <c:h val="0.63650970506157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23,9  '!$Q$31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 23,9  '!$P$32:$P$36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Jun 2022</c:v>
                </c:pt>
              </c:strCache>
            </c:strRef>
          </c:cat>
          <c:val>
            <c:numRef>
              <c:f>'  23,9  '!$Q$32:$Q$36</c:f>
              <c:numCache>
                <c:formatCode>#\ ###.0</c:formatCode>
                <c:ptCount val="5"/>
                <c:pt idx="0">
                  <c:v>890.42</c:v>
                </c:pt>
                <c:pt idx="1">
                  <c:v>1049.8499999999999</c:v>
                </c:pt>
                <c:pt idx="2">
                  <c:v>1205.7470000000001</c:v>
                </c:pt>
                <c:pt idx="3">
                  <c:v>1414.72</c:v>
                </c:pt>
                <c:pt idx="4">
                  <c:v>1515.17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6-434A-B715-4E3B4BF10F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0"/>
        <c:overlap val="100"/>
        <c:axId val="259404752"/>
        <c:axId val="259405136"/>
      </c:barChart>
      <c:catAx>
        <c:axId val="259404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US" sz="800" b="1">
                    <a:latin typeface="Arial Narrow" panose="020B0606020202030204" pitchFamily="34" charset="0"/>
                  </a:rPr>
                  <a:t>Fuente: Superintendencia de Banca, Seguros y AFP  </a:t>
                </a:r>
              </a:p>
            </c:rich>
          </c:tx>
          <c:layout>
            <c:manualLayout>
              <c:xMode val="edge"/>
              <c:yMode val="edge"/>
              <c:x val="4.6075044815202297E-2"/>
              <c:y val="0.94316096681944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PE"/>
          </a:p>
        </c:txPr>
        <c:crossAx val="259405136"/>
        <c:crosses val="autoZero"/>
        <c:auto val="1"/>
        <c:lblAlgn val="ctr"/>
        <c:lblOffset val="100"/>
        <c:noMultiLvlLbl val="0"/>
      </c:catAx>
      <c:valAx>
        <c:axId val="259405136"/>
        <c:scaling>
          <c:orientation val="minMax"/>
        </c:scaling>
        <c:delete val="1"/>
        <c:axPos val="l"/>
        <c:numFmt formatCode="#\ ###.0" sourceLinked="1"/>
        <c:majorTickMark val="out"/>
        <c:minorTickMark val="none"/>
        <c:tickLblPos val="nextTo"/>
        <c:crossAx val="25940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761999</xdr:colOff>
      <xdr:row>26</xdr:row>
      <xdr:rowOff>76200</xdr:rowOff>
    </xdr:from>
    <xdr:to>
      <xdr:col>18</xdr:col>
      <xdr:colOff>466725</xdr:colOff>
      <xdr:row>41</xdr:row>
      <xdr:rowOff>9525</xdr:rowOff>
    </xdr:to>
    <xdr:graphicFrame macro="">
      <xdr:nvGraphicFramePr>
        <xdr:cNvPr id="4" name="grafico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104775</xdr:rowOff>
    </xdr:from>
    <xdr:to>
      <xdr:col>18</xdr:col>
      <xdr:colOff>466725</xdr:colOff>
      <xdr:row>25</xdr:row>
      <xdr:rowOff>114300</xdr:rowOff>
    </xdr:to>
    <xdr:graphicFrame macro="">
      <xdr:nvGraphicFramePr>
        <xdr:cNvPr id="3" name="grafico1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0</xdr:colOff>
      <xdr:row>1</xdr:row>
      <xdr:rowOff>0</xdr:rowOff>
    </xdr:from>
    <xdr:to>
      <xdr:col>14</xdr:col>
      <xdr:colOff>670976</xdr:colOff>
      <xdr:row>5</xdr:row>
      <xdr:rowOff>42600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5" y="11430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759600</xdr:colOff>
      <xdr:row>0</xdr:row>
      <xdr:rowOff>111900</xdr:rowOff>
    </xdr:from>
    <xdr:to>
      <xdr:col>14</xdr:col>
      <xdr:colOff>669600</xdr:colOff>
      <xdr:row>5</xdr:row>
      <xdr:rowOff>40200</xdr:rowOff>
    </xdr:to>
    <xdr:pic macro="[0]!Imagenes">
      <xdr:nvPicPr>
        <xdr:cNvPr id="5" name="ocultar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525" y="111900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T54"/>
  <sheetViews>
    <sheetView showGridLines="0" tabSelected="1" zoomScaleNormal="100" workbookViewId="0">
      <selection activeCell="F44" sqref="F44"/>
    </sheetView>
  </sheetViews>
  <sheetFormatPr baseColWidth="10" defaultRowHeight="12.75" customHeight="1" x14ac:dyDescent="0.2"/>
  <cols>
    <col min="1" max="1" width="1.7109375" customWidth="1"/>
    <col min="2" max="2" width="12.140625" customWidth="1"/>
    <col min="3" max="12" width="7.42578125" customWidth="1"/>
  </cols>
  <sheetData>
    <row r="1" spans="1:20" ht="9" customHeight="1" x14ac:dyDescent="0.25">
      <c r="A1" s="9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0" ht="15" customHeight="1" x14ac:dyDescent="0.25">
      <c r="A2" s="7"/>
      <c r="B2" s="10" t="s">
        <v>12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20" ht="10.5" customHeight="1" x14ac:dyDescent="0.25">
      <c r="A3" s="7"/>
      <c r="B3" s="14" t="s">
        <v>9</v>
      </c>
      <c r="C3" s="1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20" ht="2.25" customHeight="1" x14ac:dyDescent="0.25">
      <c r="A4" s="7"/>
      <c r="B4" s="14"/>
      <c r="C4" s="1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20" ht="14.25" customHeight="1" x14ac:dyDescent="0.25">
      <c r="A5" s="7"/>
      <c r="B5" s="30" t="s">
        <v>4</v>
      </c>
      <c r="C5" s="15">
        <v>2013</v>
      </c>
      <c r="D5" s="15">
        <v>2014</v>
      </c>
      <c r="E5" s="15">
        <v>2015</v>
      </c>
      <c r="F5" s="15">
        <v>2016</v>
      </c>
      <c r="G5" s="15">
        <v>2017</v>
      </c>
      <c r="H5" s="15">
        <v>2018</v>
      </c>
      <c r="I5" s="15">
        <v>2019</v>
      </c>
      <c r="J5" s="15">
        <v>2020</v>
      </c>
      <c r="K5" s="15">
        <v>2021</v>
      </c>
      <c r="L5" s="15" t="s">
        <v>11</v>
      </c>
      <c r="M5" s="1"/>
      <c r="N5" s="8"/>
      <c r="O5" s="8"/>
      <c r="P5" s="8"/>
      <c r="Q5" s="8"/>
      <c r="R5" s="8"/>
      <c r="S5" s="8"/>
    </row>
    <row r="6" spans="1:20" ht="9" customHeight="1" x14ac:dyDescent="0.25">
      <c r="A6" s="7"/>
      <c r="B6" s="3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7"/>
      <c r="Q6" s="1"/>
      <c r="R6" s="1"/>
      <c r="S6" s="1"/>
      <c r="T6" s="20">
        <v>2</v>
      </c>
    </row>
    <row r="7" spans="1:20" ht="3" customHeight="1" x14ac:dyDescent="0.25">
      <c r="A7" s="7"/>
      <c r="B7" s="1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0">
        <v>2</v>
      </c>
    </row>
    <row r="8" spans="1:20" ht="13.5" customHeight="1" x14ac:dyDescent="0.25">
      <c r="A8" s="7"/>
      <c r="B8" s="13" t="s">
        <v>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20" ht="6" customHeight="1" x14ac:dyDescent="0.25">
      <c r="A9" s="7"/>
      <c r="B9" s="1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20" ht="12.95" customHeight="1" x14ac:dyDescent="0.25">
      <c r="A10" s="7"/>
      <c r="B10" s="11" t="s">
        <v>2</v>
      </c>
      <c r="C10" s="5">
        <v>12433550.331739999</v>
      </c>
      <c r="D10" s="5">
        <v>13438062.229660001</v>
      </c>
      <c r="E10" s="2">
        <v>14694814.395019991</v>
      </c>
      <c r="F10" s="5">
        <v>17176095.692360006</v>
      </c>
      <c r="G10" s="5">
        <v>19693092.253109999</v>
      </c>
      <c r="H10" s="5">
        <v>21367823.030469999</v>
      </c>
      <c r="I10" s="5">
        <v>23576580.33512</v>
      </c>
      <c r="J10" s="5">
        <v>26454574.869010001</v>
      </c>
      <c r="K10" s="24">
        <v>29286071.980660036</v>
      </c>
      <c r="L10" s="25">
        <v>30946485.54554002</v>
      </c>
      <c r="M10" s="1"/>
      <c r="N10" s="1"/>
      <c r="O10" s="1"/>
      <c r="P10" s="1"/>
      <c r="Q10" s="1"/>
      <c r="R10" s="1"/>
      <c r="S10" s="1"/>
    </row>
    <row r="11" spans="1:20" ht="6" customHeight="1" x14ac:dyDescent="0.25">
      <c r="A11" s="7"/>
      <c r="B11" s="11"/>
      <c r="C11" s="16"/>
      <c r="D11" s="16"/>
      <c r="E11" s="16"/>
      <c r="F11" s="5"/>
      <c r="G11" s="5"/>
      <c r="H11" s="5"/>
      <c r="I11" s="5"/>
      <c r="J11" s="5"/>
      <c r="K11" s="2"/>
      <c r="L11" s="5"/>
      <c r="M11" s="1"/>
      <c r="N11" s="1"/>
      <c r="O11" s="1"/>
      <c r="P11" s="1"/>
      <c r="Q11" s="1"/>
      <c r="R11" s="1"/>
      <c r="S11" s="1"/>
    </row>
    <row r="12" spans="1:20" ht="12.95" customHeight="1" x14ac:dyDescent="0.25">
      <c r="A12" s="7"/>
      <c r="B12" s="11" t="s">
        <v>5</v>
      </c>
      <c r="C12" s="5">
        <v>437544.16655000008</v>
      </c>
      <c r="D12" s="5">
        <v>446910.83763000002</v>
      </c>
      <c r="E12" s="5">
        <v>500117.01838000002</v>
      </c>
      <c r="F12" s="5">
        <v>603554.83039999986</v>
      </c>
      <c r="G12" s="5">
        <v>749836.36843999999</v>
      </c>
      <c r="H12" s="5">
        <v>890416.91301000002</v>
      </c>
      <c r="I12" s="5">
        <v>1049853.0203799999</v>
      </c>
      <c r="J12" s="5">
        <v>1205746.7849999999</v>
      </c>
      <c r="K12" s="24">
        <v>1414716.6741600002</v>
      </c>
      <c r="L12" s="25">
        <v>1515168.0966499997</v>
      </c>
      <c r="M12" s="1"/>
      <c r="N12" s="1"/>
      <c r="O12" s="1"/>
      <c r="P12" s="1"/>
      <c r="Q12" s="1"/>
      <c r="R12" s="1"/>
      <c r="S12" s="1"/>
    </row>
    <row r="13" spans="1:20" ht="6" customHeight="1" x14ac:dyDescent="0.25">
      <c r="A13" s="7"/>
      <c r="B13" s="11"/>
      <c r="C13" s="16"/>
      <c r="D13" s="16"/>
      <c r="E13" s="16"/>
      <c r="F13" s="5"/>
      <c r="G13" s="5"/>
      <c r="H13" s="5"/>
      <c r="I13" s="5"/>
      <c r="J13" s="5"/>
      <c r="K13" s="5"/>
      <c r="L13" s="5"/>
      <c r="M13" s="1"/>
      <c r="N13" s="1"/>
      <c r="O13" s="1"/>
      <c r="P13" s="1"/>
      <c r="Q13" s="1"/>
      <c r="R13" s="1"/>
      <c r="S13" s="1"/>
    </row>
    <row r="14" spans="1:20" ht="12.95" customHeight="1" x14ac:dyDescent="0.25">
      <c r="A14" s="7"/>
      <c r="B14" s="11" t="s">
        <v>1</v>
      </c>
      <c r="C14" s="5">
        <f t="shared" ref="C14:J14" si="0">C10-C12</f>
        <v>11996006.16519</v>
      </c>
      <c r="D14" s="5">
        <f t="shared" si="0"/>
        <v>12991151.392030001</v>
      </c>
      <c r="E14" s="5">
        <f t="shared" si="0"/>
        <v>14194697.376639992</v>
      </c>
      <c r="F14" s="5">
        <f t="shared" si="0"/>
        <v>16572540.861960007</v>
      </c>
      <c r="G14" s="5">
        <f t="shared" si="0"/>
        <v>18943255.884670001</v>
      </c>
      <c r="H14" s="5">
        <f t="shared" si="0"/>
        <v>20477406.117459998</v>
      </c>
      <c r="I14" s="5">
        <f t="shared" si="0"/>
        <v>22526727.314739998</v>
      </c>
      <c r="J14" s="5">
        <f t="shared" si="0"/>
        <v>25248828.084010001</v>
      </c>
      <c r="K14" s="5">
        <f t="shared" ref="K14:L14" si="1">K10-K12</f>
        <v>27871355.306500036</v>
      </c>
      <c r="L14" s="5">
        <f t="shared" si="1"/>
        <v>29431317.448890019</v>
      </c>
      <c r="M14" s="1"/>
      <c r="N14" s="1"/>
      <c r="O14" s="1"/>
      <c r="P14" s="1"/>
      <c r="Q14" s="1"/>
      <c r="R14" s="1"/>
      <c r="S14" s="1"/>
    </row>
    <row r="15" spans="1:20" ht="6" customHeight="1" x14ac:dyDescent="0.25">
      <c r="A15" s="7"/>
      <c r="B15" s="11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"/>
      <c r="N15" s="1"/>
      <c r="O15" s="1"/>
      <c r="P15" s="1"/>
      <c r="Q15" s="1"/>
      <c r="R15" s="1"/>
      <c r="S15" s="1"/>
    </row>
    <row r="16" spans="1:20" ht="12" customHeight="1" x14ac:dyDescent="0.25">
      <c r="A16" s="7"/>
      <c r="B16" s="13" t="s">
        <v>3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"/>
      <c r="N16" s="1"/>
      <c r="O16" s="1"/>
      <c r="P16" s="1"/>
      <c r="Q16" s="1"/>
      <c r="R16" s="1"/>
      <c r="S16" s="1"/>
    </row>
    <row r="17" spans="1:19" ht="6" customHeight="1" x14ac:dyDescent="0.25">
      <c r="A17" s="7"/>
      <c r="B17" s="11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"/>
      <c r="N17" s="1"/>
      <c r="O17" s="1"/>
      <c r="P17" s="1"/>
      <c r="Q17" s="1"/>
      <c r="R17" s="1"/>
      <c r="S17" s="1"/>
    </row>
    <row r="18" spans="1:19" ht="12.95" customHeight="1" x14ac:dyDescent="0.25">
      <c r="A18" s="7"/>
      <c r="B18" s="11" t="s">
        <v>2</v>
      </c>
      <c r="C18" s="5">
        <v>12814663.288639998</v>
      </c>
      <c r="D18" s="5">
        <v>13305151.18623</v>
      </c>
      <c r="E18" s="2">
        <v>14602578.260280002</v>
      </c>
      <c r="F18" s="5">
        <v>16749527.710489992</v>
      </c>
      <c r="G18" s="5">
        <v>18872736.355450001</v>
      </c>
      <c r="H18" s="5">
        <v>21254159.42495</v>
      </c>
      <c r="I18" s="5">
        <v>23392868.968800001</v>
      </c>
      <c r="J18" s="5">
        <v>25452828.798590001</v>
      </c>
      <c r="K18" s="25">
        <v>24719607.599560004</v>
      </c>
      <c r="L18" s="25">
        <v>25298061.88328002</v>
      </c>
      <c r="M18" s="1"/>
      <c r="N18" s="1"/>
      <c r="O18" s="23"/>
      <c r="P18" s="17"/>
      <c r="Q18" s="17"/>
      <c r="R18" s="17"/>
      <c r="S18" s="1"/>
    </row>
    <row r="19" spans="1:19" ht="6" customHeight="1" x14ac:dyDescent="0.25">
      <c r="A19" s="7"/>
      <c r="B19" s="11"/>
      <c r="C19" s="16"/>
      <c r="D19" s="5"/>
      <c r="E19" s="5"/>
      <c r="F19" s="5"/>
      <c r="G19" s="5"/>
      <c r="H19" s="5"/>
      <c r="I19" s="5"/>
      <c r="J19" s="5"/>
      <c r="K19" s="5"/>
      <c r="L19" s="5"/>
      <c r="M19" s="1"/>
      <c r="N19" s="1"/>
      <c r="O19" s="17"/>
      <c r="P19" s="17"/>
      <c r="Q19" s="17"/>
      <c r="R19" s="17"/>
      <c r="S19" s="1"/>
    </row>
    <row r="20" spans="1:19" ht="12.95" customHeight="1" x14ac:dyDescent="0.25">
      <c r="A20" s="7"/>
      <c r="B20" s="11" t="s">
        <v>5</v>
      </c>
      <c r="C20" s="5">
        <v>411873.99115999998</v>
      </c>
      <c r="D20" s="5">
        <v>391850.38209000003</v>
      </c>
      <c r="E20" s="2">
        <v>577644.89465999999</v>
      </c>
      <c r="F20" s="5">
        <v>620163.01181000005</v>
      </c>
      <c r="G20" s="5">
        <v>687390.51609000005</v>
      </c>
      <c r="H20" s="5">
        <v>781861.92145000002</v>
      </c>
      <c r="I20" s="5">
        <v>874695.03894</v>
      </c>
      <c r="J20" s="5">
        <v>980987.92018999998</v>
      </c>
      <c r="K20" s="25">
        <v>1034588.39904</v>
      </c>
      <c r="L20" s="25">
        <v>1072866.5058199998</v>
      </c>
      <c r="M20" s="1"/>
      <c r="N20" s="21"/>
      <c r="O20" s="17"/>
      <c r="P20" s="17"/>
      <c r="Q20" s="17"/>
      <c r="R20" s="17"/>
      <c r="S20" s="17"/>
    </row>
    <row r="21" spans="1:19" ht="6" customHeight="1" x14ac:dyDescent="0.25">
      <c r="A21" s="7"/>
      <c r="B21" s="11"/>
      <c r="C21" s="16"/>
      <c r="D21" s="16"/>
      <c r="E21" s="5"/>
      <c r="F21" s="5"/>
      <c r="G21" s="5"/>
      <c r="H21" s="5"/>
      <c r="I21" s="5"/>
      <c r="J21" s="5"/>
      <c r="K21" s="5"/>
      <c r="L21" s="5"/>
      <c r="M21" s="1"/>
      <c r="N21" s="21"/>
      <c r="O21" s="17"/>
      <c r="P21" s="17"/>
      <c r="Q21" s="17"/>
      <c r="R21" s="17"/>
      <c r="S21" s="17"/>
    </row>
    <row r="22" spans="1:19" ht="12.95" customHeight="1" x14ac:dyDescent="0.25">
      <c r="A22" s="7"/>
      <c r="B22" s="11" t="s">
        <v>1</v>
      </c>
      <c r="C22" s="5">
        <f t="shared" ref="C22:J22" si="2">C18-C20</f>
        <v>12402789.297479998</v>
      </c>
      <c r="D22" s="5">
        <f t="shared" si="2"/>
        <v>12913300.80414</v>
      </c>
      <c r="E22" s="5">
        <f t="shared" si="2"/>
        <v>14024933.365620002</v>
      </c>
      <c r="F22" s="5">
        <f t="shared" si="2"/>
        <v>16129364.698679991</v>
      </c>
      <c r="G22" s="5">
        <f t="shared" si="2"/>
        <v>18185345.839359999</v>
      </c>
      <c r="H22" s="5">
        <f t="shared" si="2"/>
        <v>20472297.5035</v>
      </c>
      <c r="I22" s="5">
        <f t="shared" si="2"/>
        <v>22518173.92986</v>
      </c>
      <c r="J22" s="5">
        <f t="shared" si="2"/>
        <v>24471840.878400002</v>
      </c>
      <c r="K22" s="5">
        <f t="shared" ref="K22:L22" si="3">K18-K20</f>
        <v>23685019.200520005</v>
      </c>
      <c r="L22" s="5">
        <f t="shared" si="3"/>
        <v>24225195.377460022</v>
      </c>
      <c r="M22" s="1"/>
      <c r="N22" s="21"/>
      <c r="O22" s="17"/>
      <c r="P22" s="17"/>
      <c r="Q22" s="17" t="s">
        <v>7</v>
      </c>
      <c r="R22" s="17"/>
      <c r="S22" s="17"/>
    </row>
    <row r="23" spans="1:19" ht="6" customHeight="1" x14ac:dyDescent="0.25">
      <c r="A23" s="7"/>
      <c r="B23" s="12"/>
      <c r="C23" s="3"/>
      <c r="D23" s="3"/>
      <c r="E23" s="3"/>
      <c r="F23" s="3"/>
      <c r="G23" s="3"/>
      <c r="H23" s="3"/>
      <c r="I23" s="3"/>
      <c r="J23" s="3"/>
      <c r="K23" s="3"/>
      <c r="L23" s="3"/>
      <c r="M23" s="1"/>
      <c r="N23" s="21"/>
      <c r="O23" s="17"/>
      <c r="P23" s="17"/>
      <c r="Q23" s="17"/>
      <c r="R23" s="17"/>
      <c r="S23" s="17"/>
    </row>
    <row r="24" spans="1:19" ht="11.25" customHeight="1" x14ac:dyDescent="0.25">
      <c r="A24" s="7"/>
      <c r="B24" s="6" t="s">
        <v>10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21"/>
      <c r="O24" s="17"/>
      <c r="P24" s="17"/>
      <c r="Q24" s="17"/>
      <c r="R24" s="17"/>
      <c r="S24" s="17"/>
    </row>
    <row r="25" spans="1:19" ht="11.25" customHeight="1" x14ac:dyDescent="0.25">
      <c r="A25" s="7"/>
      <c r="B25" s="4" t="s">
        <v>6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21"/>
      <c r="O25" s="17"/>
      <c r="P25" s="17"/>
      <c r="Q25" s="17"/>
      <c r="R25" s="17"/>
      <c r="S25" s="17"/>
    </row>
    <row r="26" spans="1:19" ht="11.25" customHeight="1" x14ac:dyDescent="0.25">
      <c r="A26" s="7"/>
      <c r="B26" s="4" t="s">
        <v>14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21"/>
      <c r="O26" s="17"/>
      <c r="P26" s="17"/>
      <c r="Q26" s="17"/>
      <c r="R26" s="17"/>
      <c r="S26" s="17"/>
    </row>
    <row r="27" spans="1:19" ht="11.25" customHeight="1" x14ac:dyDescent="0.25">
      <c r="A27" s="7"/>
      <c r="B27" s="6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21"/>
      <c r="O27" s="17"/>
      <c r="P27" s="17"/>
      <c r="Q27" s="17"/>
      <c r="R27" s="17"/>
      <c r="S27" s="17"/>
    </row>
    <row r="28" spans="1:19" ht="11.25" customHeight="1" x14ac:dyDescent="0.25">
      <c r="A28" s="7"/>
      <c r="B28" s="6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21"/>
      <c r="O28" s="17"/>
      <c r="P28" s="17"/>
      <c r="Q28" s="17"/>
      <c r="R28" s="17"/>
      <c r="S28" s="17"/>
    </row>
    <row r="29" spans="1:19" ht="11.25" customHeight="1" x14ac:dyDescent="0.25">
      <c r="A29" s="7"/>
      <c r="B29" s="6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21"/>
      <c r="O29" s="17"/>
      <c r="P29" s="17"/>
      <c r="Q29" s="17"/>
      <c r="R29" s="17"/>
      <c r="S29" s="17"/>
    </row>
    <row r="30" spans="1:19" ht="11.25" customHeight="1" x14ac:dyDescent="0.25">
      <c r="A30" s="7"/>
      <c r="B30" s="6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21"/>
      <c r="O30" s="17"/>
      <c r="P30" s="17"/>
      <c r="Q30" s="17"/>
      <c r="R30" s="17"/>
      <c r="S30" s="17"/>
    </row>
    <row r="31" spans="1:19" ht="10.5" customHeight="1" x14ac:dyDescent="0.25">
      <c r="A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21"/>
      <c r="O31" s="17"/>
      <c r="P31" s="17"/>
      <c r="Q31" s="17"/>
      <c r="R31" s="17"/>
      <c r="S31" s="17"/>
    </row>
    <row r="32" spans="1:19" ht="11.25" customHeight="1" x14ac:dyDescent="0.25">
      <c r="A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21"/>
      <c r="O32" s="17"/>
      <c r="P32" s="17">
        <v>2018</v>
      </c>
      <c r="Q32" s="27">
        <v>890.42</v>
      </c>
      <c r="R32" s="17"/>
      <c r="S32" s="17"/>
    </row>
    <row r="33" spans="1:19" ht="13.5" x14ac:dyDescent="0.25">
      <c r="A33" s="7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1"/>
      <c r="O33" s="17"/>
      <c r="P33" s="17">
        <v>2019</v>
      </c>
      <c r="Q33" s="27">
        <v>1049.8499999999999</v>
      </c>
      <c r="R33" s="17"/>
      <c r="S33" s="17"/>
    </row>
    <row r="34" spans="1:19" ht="13.5" x14ac:dyDescent="0.25">
      <c r="A34" s="7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21"/>
      <c r="O34" s="17"/>
      <c r="P34" s="17">
        <v>2020</v>
      </c>
      <c r="Q34" s="27">
        <v>1205.7470000000001</v>
      </c>
      <c r="R34" s="17"/>
      <c r="S34" s="17"/>
    </row>
    <row r="35" spans="1:19" ht="13.5" x14ac:dyDescent="0.25">
      <c r="A35" s="7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21"/>
      <c r="O35" s="17"/>
      <c r="P35" s="17">
        <v>2021</v>
      </c>
      <c r="Q35" s="27">
        <v>1414.72</v>
      </c>
      <c r="R35" s="17"/>
      <c r="S35" s="17"/>
    </row>
    <row r="36" spans="1:19" ht="13.5" x14ac:dyDescent="0.25">
      <c r="A36" s="7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21"/>
      <c r="O36" s="17"/>
      <c r="P36" s="19" t="s">
        <v>13</v>
      </c>
      <c r="Q36" s="27">
        <v>1515.17</v>
      </c>
      <c r="R36" s="17"/>
      <c r="S36" s="17"/>
    </row>
    <row r="37" spans="1:19" ht="13.5" x14ac:dyDescent="0.25">
      <c r="A37" s="7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21"/>
      <c r="O37" s="17"/>
      <c r="P37" s="17"/>
      <c r="Q37" s="17"/>
      <c r="R37" s="17"/>
      <c r="S37" s="17"/>
    </row>
    <row r="38" spans="1:19" ht="13.5" x14ac:dyDescent="0.25">
      <c r="A38" s="7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21"/>
      <c r="O38" s="22"/>
      <c r="P38" s="22"/>
      <c r="Q38" s="22"/>
      <c r="R38" s="22"/>
      <c r="S38" s="22"/>
    </row>
    <row r="39" spans="1:19" ht="13.5" x14ac:dyDescent="0.25">
      <c r="A39" s="7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21"/>
      <c r="O39" s="22"/>
      <c r="P39" s="22"/>
      <c r="Q39" s="22"/>
      <c r="R39" s="22"/>
      <c r="S39" s="22"/>
    </row>
    <row r="40" spans="1:19" ht="13.5" x14ac:dyDescent="0.25">
      <c r="A40" s="7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21"/>
      <c r="O40" s="22"/>
      <c r="P40" s="26"/>
      <c r="Q40" s="26"/>
      <c r="R40" s="22"/>
      <c r="S40" s="22"/>
    </row>
    <row r="41" spans="1:19" ht="13.5" x14ac:dyDescent="0.25">
      <c r="A41" s="7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22"/>
      <c r="P41" s="26"/>
      <c r="Q41" s="26"/>
      <c r="R41" s="22"/>
      <c r="S41" s="22"/>
    </row>
    <row r="42" spans="1:19" ht="13.5" x14ac:dyDescent="0.25">
      <c r="A42" s="7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22"/>
      <c r="P42" s="26"/>
      <c r="Q42" s="26"/>
      <c r="R42" s="22"/>
      <c r="S42" s="22"/>
    </row>
    <row r="43" spans="1:19" ht="13.5" x14ac:dyDescent="0.25">
      <c r="A43" s="7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7"/>
      <c r="P43" s="20"/>
      <c r="Q43" s="20"/>
      <c r="R43" s="17"/>
      <c r="S43" s="22"/>
    </row>
    <row r="44" spans="1:19" ht="13.5" x14ac:dyDescent="0.25">
      <c r="A44" s="7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21"/>
      <c r="N44" s="21"/>
      <c r="O44" s="17"/>
      <c r="P44" s="17"/>
      <c r="Q44" s="17" t="s">
        <v>8</v>
      </c>
      <c r="R44" s="17"/>
      <c r="S44" s="21"/>
    </row>
    <row r="45" spans="1:19" ht="13.5" x14ac:dyDescent="0.25">
      <c r="A45" s="7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21"/>
      <c r="N45" s="21"/>
      <c r="O45" s="17"/>
      <c r="P45" s="17"/>
      <c r="Q45" s="20"/>
      <c r="R45" s="17"/>
      <c r="S45" s="21"/>
    </row>
    <row r="46" spans="1:19" ht="13.5" x14ac:dyDescent="0.25">
      <c r="A46" s="7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21"/>
      <c r="N46" s="21"/>
      <c r="O46" s="17"/>
      <c r="P46" s="17">
        <v>2018</v>
      </c>
      <c r="Q46" s="18">
        <v>781.86199999999997</v>
      </c>
      <c r="R46" s="17"/>
      <c r="S46" s="21"/>
    </row>
    <row r="47" spans="1:19" ht="13.5" x14ac:dyDescent="0.25">
      <c r="A47" s="7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21"/>
      <c r="N47" s="21"/>
      <c r="O47" s="17"/>
      <c r="P47" s="17">
        <v>2019</v>
      </c>
      <c r="Q47" s="18">
        <v>874.69500000000005</v>
      </c>
      <c r="R47" s="17"/>
      <c r="S47" s="21"/>
    </row>
    <row r="48" spans="1:19" ht="13.5" x14ac:dyDescent="0.25">
      <c r="A48" s="7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21"/>
      <c r="N48" s="21"/>
      <c r="O48" s="17"/>
      <c r="P48" s="17">
        <v>2020</v>
      </c>
      <c r="Q48" s="18">
        <v>980.98800000000006</v>
      </c>
      <c r="R48" s="17"/>
      <c r="S48" s="21"/>
    </row>
    <row r="49" spans="1:19" ht="13.5" x14ac:dyDescent="0.25">
      <c r="A49" s="7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21"/>
      <c r="N49" s="21"/>
      <c r="O49" s="17"/>
      <c r="P49" s="17">
        <v>2021</v>
      </c>
      <c r="Q49" s="28">
        <v>1034.5899999999999</v>
      </c>
      <c r="R49" s="17"/>
      <c r="S49" s="21"/>
    </row>
    <row r="50" spans="1:19" ht="13.5" x14ac:dyDescent="0.25">
      <c r="A50" s="7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21"/>
      <c r="N50" s="21"/>
      <c r="O50" s="17"/>
      <c r="P50" s="19" t="s">
        <v>13</v>
      </c>
      <c r="Q50" s="28">
        <v>1072.8699999999999</v>
      </c>
      <c r="R50" s="17"/>
      <c r="S50" s="21"/>
    </row>
    <row r="54" spans="1:19" ht="12.75" customHeight="1" x14ac:dyDescent="0.2">
      <c r="N54" s="29"/>
    </row>
  </sheetData>
  <mergeCells count="1">
    <mergeCell ref="B5:B6"/>
  </mergeCells>
  <phoneticPr fontId="0" type="noConversion"/>
  <printOptions horizontalCentered="1"/>
  <pageMargins left="0.78740157480314965" right="0.59055118110236227" top="0.59055118110236227" bottom="0.19685039370078741" header="0" footer="0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23,9  </vt:lpstr>
      <vt:lpstr>'  23,9 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2017-09-24T18:22:49Z</cp:lastPrinted>
  <dcterms:created xsi:type="dcterms:W3CDTF">1999-09-21T00:42:20Z</dcterms:created>
  <dcterms:modified xsi:type="dcterms:W3CDTF">2022-12-27T14:58:59Z</dcterms:modified>
</cp:coreProperties>
</file>