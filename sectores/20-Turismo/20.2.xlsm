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20-Turismo\"/>
    </mc:Choice>
  </mc:AlternateContent>
  <bookViews>
    <workbookView xWindow="-105" yWindow="-105" windowWidth="23250" windowHeight="12570"/>
  </bookViews>
  <sheets>
    <sheet name="  20,2  " sheetId="1" r:id="rId1"/>
  </sheets>
  <definedNames>
    <definedName name="\a">'  20,2  '!$HY$8032</definedName>
    <definedName name="_Regression_Int" localSheetId="0" hidden="1">1</definedName>
    <definedName name="A_impresión_IM" localSheetId="0">'  20,2  '!$B$2:$B$27</definedName>
    <definedName name="_xlnm.Print_Area" localSheetId="0">'  20,2  '!$B$2:$L$50</definedName>
    <definedName name="FLUJO">'  20,2  '!$HY$8032</definedName>
  </definedNames>
  <calcPr calcId="162913"/>
</workbook>
</file>

<file path=xl/calcChain.xml><?xml version="1.0" encoding="utf-8"?>
<calcChain xmlns="http://schemas.openxmlformats.org/spreadsheetml/2006/main">
  <c r="K23" i="1" l="1"/>
  <c r="J23" i="1"/>
  <c r="I23" i="1"/>
  <c r="H23" i="1"/>
  <c r="G23" i="1"/>
  <c r="F23" i="1"/>
  <c r="E23" i="1"/>
  <c r="D23" i="1"/>
  <c r="C23" i="1"/>
  <c r="K22" i="1"/>
  <c r="J22" i="1"/>
  <c r="I22" i="1"/>
  <c r="H22" i="1"/>
  <c r="G22" i="1"/>
  <c r="F22" i="1"/>
  <c r="E22" i="1"/>
  <c r="D22" i="1"/>
  <c r="C22" i="1"/>
  <c r="K15" i="1"/>
  <c r="J15" i="1"/>
  <c r="J21" i="1" s="1"/>
  <c r="I15" i="1"/>
  <c r="I21" i="1" s="1"/>
  <c r="H15" i="1"/>
  <c r="G15" i="1"/>
  <c r="F15" i="1"/>
  <c r="E15" i="1"/>
  <c r="D15" i="1"/>
  <c r="C15" i="1"/>
  <c r="C21" i="1" s="1"/>
  <c r="K9" i="1"/>
  <c r="J9" i="1"/>
  <c r="I9" i="1"/>
  <c r="H9" i="1"/>
  <c r="H21" i="1" s="1"/>
  <c r="G9" i="1"/>
  <c r="F9" i="1"/>
  <c r="E9" i="1"/>
  <c r="D9" i="1"/>
  <c r="C9" i="1"/>
  <c r="F5" i="1"/>
  <c r="L23" i="1"/>
  <c r="L22" i="1"/>
  <c r="G21" i="1" l="1"/>
  <c r="K21" i="1"/>
  <c r="D21" i="1"/>
  <c r="E21" i="1"/>
  <c r="F21" i="1"/>
  <c r="L15" i="1"/>
  <c r="L9" i="1"/>
  <c r="L21" i="1" l="1"/>
</calcChain>
</file>

<file path=xl/sharedStrings.xml><?xml version="1.0" encoding="utf-8"?>
<sst xmlns="http://schemas.openxmlformats.org/spreadsheetml/2006/main" count="17" uniqueCount="12">
  <si>
    <t>Modalidad</t>
  </si>
  <si>
    <t>Arribo</t>
  </si>
  <si>
    <t xml:space="preserve">  Total</t>
  </si>
  <si>
    <t xml:space="preserve">    Nacional</t>
  </si>
  <si>
    <t xml:space="preserve">    Extranjero</t>
  </si>
  <si>
    <t>Pernoctación</t>
  </si>
  <si>
    <t>Permanencia</t>
  </si>
  <si>
    <t xml:space="preserve">  Promedio</t>
  </si>
  <si>
    <t xml:space="preserve">Fuente: Dirección  Regional de Comercio Exterior y Turismo - Oficina de Turismo </t>
  </si>
  <si>
    <t xml:space="preserve"> 20.2 ICA: FLUJO TURÍSTICO NACIONAL Y EXTRANJERO EN LOS ESTABLECIMIENTOS</t>
  </si>
  <si>
    <t xml:space="preserve">     Ministerio de Comercio Exterior y Turismo - Encuesta Mensual de Turismo para Establecimientos de Hospedaje. </t>
  </si>
  <si>
    <t xml:space="preserve">        DE HOSPEDAJE COLECTIVO, SEGÚN MODALIDAD, 2012 - 2021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</si>
</sst>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"/>
    <numFmt numFmtId="165" formatCode="0.00_)"/>
    <numFmt numFmtId="166" formatCode="###\ ###"/>
    <numFmt numFmtId="167" formatCode="#\ ###\ ###"/>
  </numFmts>
  <fonts count="12" x14ac:knownFonts="1">
    <font>
      <sz val="10"/>
      <name val="Helv"/>
    </font>
    <font>
      <sz val="8"/>
      <name val="Helv"/>
    </font>
    <font>
      <b/>
      <sz val="8"/>
      <name val="Arial Narrow"/>
      <family val="2"/>
    </font>
    <font>
      <b/>
      <sz val="9"/>
      <name val="Arial Narrow"/>
      <family val="2"/>
    </font>
    <font>
      <b/>
      <sz val="8"/>
      <color indexed="8"/>
      <name val="Arial Narrow"/>
      <family val="2"/>
    </font>
    <font>
      <sz val="8"/>
      <name val="Arial Narrow"/>
      <family val="2"/>
    </font>
    <font>
      <b/>
      <sz val="8"/>
      <color rgb="FFFF0000"/>
      <name val="Arial Narrow"/>
      <family val="2"/>
    </font>
    <font>
      <sz val="8"/>
      <color theme="0"/>
      <name val="Arial Narrow"/>
      <family val="2"/>
    </font>
    <font>
      <sz val="8"/>
      <color rgb="FFFF0000"/>
      <name val="Arial Narrow"/>
      <family val="2"/>
    </font>
    <font>
      <sz val="8"/>
      <color rgb="FF0000FF"/>
      <name val="Arial Narrow"/>
      <family val="2"/>
    </font>
    <font>
      <u/>
      <sz val="10"/>
      <name val="Helv"/>
    </font>
    <font>
      <sz val="10"/>
      <color theme="0"/>
      <name val="Helv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164" fontId="0" fillId="0" borderId="0"/>
  </cellStyleXfs>
  <cellXfs count="34">
    <xf numFmtId="164" fontId="0" fillId="0" borderId="0" xfId="0"/>
    <xf numFmtId="164" fontId="2" fillId="0" borderId="0" xfId="0" applyFont="1" applyAlignment="1">
      <alignment horizontal="left"/>
    </xf>
    <xf numFmtId="164" fontId="5" fillId="0" borderId="0" xfId="0" applyFont="1"/>
    <xf numFmtId="164" fontId="2" fillId="0" borderId="0" xfId="0" applyFont="1"/>
    <xf numFmtId="166" fontId="5" fillId="0" borderId="0" xfId="0" applyNumberFormat="1" applyFont="1" applyAlignment="1">
      <alignment wrapText="1"/>
    </xf>
    <xf numFmtId="166" fontId="5" fillId="0" borderId="0" xfId="0" applyNumberFormat="1" applyFont="1" applyAlignment="1">
      <alignment horizontal="right" vertical="justify"/>
    </xf>
    <xf numFmtId="165" fontId="5" fillId="0" borderId="0" xfId="0" applyNumberFormat="1" applyFont="1"/>
    <xf numFmtId="1" fontId="5" fillId="0" borderId="1" xfId="0" applyNumberFormat="1" applyFont="1" applyBorder="1"/>
    <xf numFmtId="164" fontId="5" fillId="0" borderId="0" xfId="0" applyFont="1" applyAlignment="1">
      <alignment horizontal="right" vertical="top" wrapText="1"/>
    </xf>
    <xf numFmtId="164" fontId="5" fillId="0" borderId="0" xfId="0" applyFont="1" applyAlignment="1">
      <alignment horizontal="right"/>
    </xf>
    <xf numFmtId="164" fontId="5" fillId="0" borderId="1" xfId="0" applyFont="1" applyBorder="1"/>
    <xf numFmtId="164" fontId="6" fillId="0" borderId="0" xfId="0" applyFont="1"/>
    <xf numFmtId="164" fontId="3" fillId="0" borderId="0" xfId="0" applyFont="1" applyAlignment="1">
      <alignment horizontal="left"/>
    </xf>
    <xf numFmtId="164" fontId="7" fillId="0" borderId="0" xfId="0" applyFont="1"/>
    <xf numFmtId="164" fontId="2" fillId="0" borderId="2" xfId="0" applyFont="1" applyBorder="1"/>
    <xf numFmtId="164" fontId="2" fillId="0" borderId="2" xfId="0" applyFont="1" applyBorder="1" applyAlignment="1">
      <alignment horizontal="left"/>
    </xf>
    <xf numFmtId="164" fontId="5" fillId="0" borderId="2" xfId="0" applyFont="1" applyBorder="1" applyAlignment="1">
      <alignment horizontal="left"/>
    </xf>
    <xf numFmtId="164" fontId="2" fillId="0" borderId="3" xfId="0" applyFont="1" applyBorder="1"/>
    <xf numFmtId="164" fontId="4" fillId="0" borderId="5" xfId="0" applyFont="1" applyBorder="1" applyAlignment="1">
      <alignment horizontal="center" vertical="center"/>
    </xf>
    <xf numFmtId="164" fontId="2" fillId="0" borderId="4" xfId="0" applyFont="1" applyBorder="1" applyAlignment="1">
      <alignment vertical="center" wrapText="1"/>
    </xf>
    <xf numFmtId="167" fontId="5" fillId="0" borderId="0" xfId="0" applyNumberFormat="1" applyFont="1" applyAlignment="1">
      <alignment horizontal="right" vertical="justify" wrapText="1"/>
    </xf>
    <xf numFmtId="167" fontId="5" fillId="0" borderId="0" xfId="0" applyNumberFormat="1" applyFont="1" applyAlignment="1">
      <alignment horizontal="right" vertical="justify"/>
    </xf>
    <xf numFmtId="164" fontId="7" fillId="0" borderId="0" xfId="0" applyFont="1" applyAlignment="1">
      <alignment horizontal="right"/>
    </xf>
    <xf numFmtId="166" fontId="7" fillId="0" borderId="0" xfId="0" applyNumberFormat="1" applyFont="1" applyAlignment="1">
      <alignment wrapText="1"/>
    </xf>
    <xf numFmtId="164" fontId="3" fillId="0" borderId="0" xfId="0" applyFont="1"/>
    <xf numFmtId="167" fontId="5" fillId="0" borderId="0" xfId="0" applyNumberFormat="1" applyFont="1" applyAlignment="1">
      <alignment wrapText="1"/>
    </xf>
    <xf numFmtId="164" fontId="8" fillId="0" borderId="0" xfId="0" applyFont="1"/>
    <xf numFmtId="167" fontId="9" fillId="0" borderId="0" xfId="0" applyNumberFormat="1" applyFont="1" applyAlignment="1">
      <alignment horizontal="right" vertical="justify" wrapText="1"/>
    </xf>
    <xf numFmtId="167" fontId="9" fillId="0" borderId="0" xfId="0" applyNumberFormat="1" applyFont="1" applyAlignment="1">
      <alignment wrapText="1"/>
    </xf>
    <xf numFmtId="164" fontId="9" fillId="0" borderId="0" xfId="0" applyFont="1"/>
    <xf numFmtId="164" fontId="9" fillId="0" borderId="0" xfId="0" applyFont="1" applyAlignment="1">
      <alignment horizontal="right"/>
    </xf>
    <xf numFmtId="164" fontId="10" fillId="0" borderId="0" xfId="0" applyFont="1"/>
    <xf numFmtId="164" fontId="11" fillId="0" borderId="0" xfId="0" applyFont="1"/>
    <xf numFmtId="164" fontId="2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FF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 b="1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ICA: ARRIBO DE TURISTAS NACIONALES Y EXTRANJEROS, 2014 - 2021
</a:t>
            </a:r>
            <a:r>
              <a:rPr lang="es-PE" sz="800" b="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(Miles)</a:t>
            </a:r>
          </a:p>
        </c:rich>
      </c:tx>
      <c:layout>
        <c:manualLayout>
          <c:xMode val="edge"/>
          <c:yMode val="edge"/>
          <c:x val="0.13527107040470343"/>
          <c:y val="2.3597448283733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42152518982966E-3"/>
          <c:y val="0.14222025063768437"/>
          <c:w val="0.98521345852358422"/>
          <c:h val="0.756306827843702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20,2  '!$O$34</c:f>
              <c:strCache>
                <c:ptCount val="1"/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3.8481805453094652E-3"/>
                  <c:y val="-1.9231821374440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34F7-40B0-A710-7F609F7A71FC}"/>
                </c:ext>
              </c:extLst>
            </c:dLbl>
            <c:dLbl>
              <c:idx val="1"/>
              <c:layout>
                <c:manualLayout>
                  <c:x val="1.2769053963856813E-3"/>
                  <c:y val="-4.162212117851465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4F7-40B0-A710-7F609F7A71FC}"/>
                </c:ext>
              </c:extLst>
            </c:dLbl>
            <c:dLbl>
              <c:idx val="2"/>
              <c:layout>
                <c:manualLayout>
                  <c:x val="-1.4714221907734658E-4"/>
                  <c:y val="-4.217515064138109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34F7-40B0-A710-7F609F7A71FC}"/>
                </c:ext>
              </c:extLst>
            </c:dLbl>
            <c:dLbl>
              <c:idx val="3"/>
              <c:layout>
                <c:manualLayout>
                  <c:x val="2.7742230117984776E-4"/>
                  <c:y val="-3.440020701637647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34F7-40B0-A710-7F609F7A71FC}"/>
                </c:ext>
              </c:extLst>
            </c:dLbl>
            <c:dLbl>
              <c:idx val="4"/>
              <c:layout>
                <c:manualLayout>
                  <c:x val="-4.4564219147558756E-4"/>
                  <c:y val="-4.84093009500573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34F7-40B0-A710-7F609F7A71FC}"/>
                </c:ext>
              </c:extLst>
            </c:dLbl>
            <c:dLbl>
              <c:idx val="5"/>
              <c:layout>
                <c:manualLayout>
                  <c:x val="-2.1077671218439952E-5"/>
                  <c:y val="-3.938930168940150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34F7-40B0-A710-7F609F7A71FC}"/>
                </c:ext>
              </c:extLst>
            </c:dLbl>
            <c:dLbl>
              <c:idx val="6"/>
              <c:layout>
                <c:manualLayout>
                  <c:x val="1.8054530946537057E-3"/>
                  <c:y val="2.598647000110901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34F7-40B0-A710-7F609F7A71FC}"/>
                </c:ext>
              </c:extLst>
            </c:dLbl>
            <c:dLbl>
              <c:idx val="7"/>
              <c:layout>
                <c:manualLayout>
                  <c:x val="1.0823886019982706E-3"/>
                  <c:y val="-1.21104580237329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34F7-40B0-A710-7F609F7A71FC}"/>
                </c:ext>
              </c:extLst>
            </c:dLbl>
            <c:dLbl>
              <c:idx val="8"/>
              <c:layout>
                <c:manualLayout>
                  <c:x val="2.8003191761641648E-4"/>
                  <c:y val="-4.099515729547925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F7-40B0-A710-7F609F7A71FC}"/>
                </c:ext>
              </c:extLst>
            </c:dLbl>
            <c:dLbl>
              <c:idx val="9"/>
              <c:layout>
                <c:manualLayout>
                  <c:x val="2.8776115027506377E-2"/>
                  <c:y val="-4.20478690163729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F7-40B0-A710-7F609F7A71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  20,2  '!$N$37:$N$45</c15:sqref>
                  </c15:fullRef>
                </c:ext>
              </c:extLst>
              <c:f>'  20,2  '!$N$38:$N$45</c:f>
              <c:numCache>
                <c:formatCode>0_)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  20,2  '!$O$37:$O$45</c15:sqref>
                  </c15:fullRef>
                </c:ext>
              </c:extLst>
              <c:f>'  20,2  '!$O$38:$O$45</c:f>
              <c:numCache>
                <c:formatCode>###\ ###</c:formatCode>
                <c:ptCount val="8"/>
                <c:pt idx="0">
                  <c:v>834.06299999999999</c:v>
                </c:pt>
                <c:pt idx="1">
                  <c:v>846.65800000000002</c:v>
                </c:pt>
                <c:pt idx="2">
                  <c:v>1439.671</c:v>
                </c:pt>
                <c:pt idx="3">
                  <c:v>1496.171</c:v>
                </c:pt>
                <c:pt idx="4">
                  <c:v>1545.4079999999999</c:v>
                </c:pt>
                <c:pt idx="5">
                  <c:v>1850.598</c:v>
                </c:pt>
                <c:pt idx="6">
                  <c:v>778.75699999999995</c:v>
                </c:pt>
                <c:pt idx="7">
                  <c:v>1130.6400000000001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F7-40B0-A710-7F609F7A7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253930976"/>
        <c:axId val="252888328"/>
      </c:barChart>
      <c:catAx>
        <c:axId val="253930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Dirección Regional de Comercio Exterior y Turismo.</a:t>
                </a:r>
              </a:p>
            </c:rich>
          </c:tx>
          <c:layout>
            <c:manualLayout>
              <c:xMode val="edge"/>
              <c:yMode val="edge"/>
              <c:x val="2.3942628586340664E-2"/>
              <c:y val="0.95744423496358733"/>
            </c:manualLayout>
          </c:layout>
          <c:overlay val="0"/>
        </c:title>
        <c:numFmt formatCode="0_)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2888328"/>
        <c:crosses val="autoZero"/>
        <c:auto val="1"/>
        <c:lblAlgn val="ctr"/>
        <c:lblOffset val="100"/>
        <c:noMultiLvlLbl val="0"/>
      </c:catAx>
      <c:valAx>
        <c:axId val="252888328"/>
        <c:scaling>
          <c:orientation val="minMax"/>
        </c:scaling>
        <c:delete val="1"/>
        <c:axPos val="l"/>
        <c:numFmt formatCode="0_)" sourceLinked="1"/>
        <c:majorTickMark val="out"/>
        <c:minorTickMark val="none"/>
        <c:tickLblPos val="nextTo"/>
        <c:crossAx val="2539309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</xdr:colOff>
      <xdr:row>8</xdr:row>
      <xdr:rowOff>19048</xdr:rowOff>
    </xdr:from>
    <xdr:to>
      <xdr:col>20</xdr:col>
      <xdr:colOff>47625</xdr:colOff>
      <xdr:row>29</xdr:row>
      <xdr:rowOff>66674</xdr:rowOff>
    </xdr:to>
    <xdr:graphicFrame macro="">
      <xdr:nvGraphicFramePr>
        <xdr:cNvPr id="1067" name="grafico" hidden="1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638175</xdr:colOff>
      <xdr:row>3</xdr:row>
      <xdr:rowOff>38100</xdr:rowOff>
    </xdr:from>
    <xdr:to>
      <xdr:col>15</xdr:col>
      <xdr:colOff>128051</xdr:colOff>
      <xdr:row>6</xdr:row>
      <xdr:rowOff>156900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533400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635775</xdr:colOff>
      <xdr:row>3</xdr:row>
      <xdr:rowOff>35700</xdr:rowOff>
    </xdr:from>
    <xdr:to>
      <xdr:col>15</xdr:col>
      <xdr:colOff>126675</xdr:colOff>
      <xdr:row>6</xdr:row>
      <xdr:rowOff>154500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975" y="531000"/>
          <a:ext cx="14340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Hoja1"/>
  <dimension ref="A1:P55"/>
  <sheetViews>
    <sheetView showGridLines="0" tabSelected="1" zoomScaleNormal="100" workbookViewId="0">
      <selection activeCell="I35" sqref="I35"/>
    </sheetView>
  </sheetViews>
  <sheetFormatPr baseColWidth="10" defaultColWidth="9.7109375" defaultRowHeight="12.6" customHeight="1" x14ac:dyDescent="0.2"/>
  <cols>
    <col min="1" max="1" width="1.7109375" customWidth="1"/>
    <col min="2" max="2" width="13.7109375" customWidth="1"/>
    <col min="3" max="12" width="7.140625" customWidth="1"/>
  </cols>
  <sheetData>
    <row r="1" spans="1:16" ht="9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6" ht="15" customHeight="1" x14ac:dyDescent="0.25">
      <c r="A2" s="2"/>
      <c r="B2" s="12" t="s">
        <v>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6" ht="15" customHeight="1" x14ac:dyDescent="0.25">
      <c r="A3" s="2"/>
      <c r="B3" s="24" t="s">
        <v>11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6" ht="6" customHeight="1" x14ac:dyDescent="0.25">
      <c r="A4" s="2"/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6" ht="24" customHeight="1" x14ac:dyDescent="0.25">
      <c r="A5" s="2"/>
      <c r="B5" s="18" t="s">
        <v>0</v>
      </c>
      <c r="C5" s="19">
        <v>2012</v>
      </c>
      <c r="D5" s="19">
        <v>2013</v>
      </c>
      <c r="E5" s="19">
        <v>2014</v>
      </c>
      <c r="F5" s="19">
        <f xml:space="preserve">        2015</f>
        <v>2015</v>
      </c>
      <c r="G5" s="19">
        <v>2016</v>
      </c>
      <c r="H5" s="19">
        <v>2017</v>
      </c>
      <c r="I5" s="19">
        <v>2018</v>
      </c>
      <c r="J5" s="19">
        <v>2019</v>
      </c>
      <c r="K5" s="19">
        <v>2020</v>
      </c>
      <c r="L5" s="19">
        <v>2021</v>
      </c>
      <c r="M5" s="2"/>
      <c r="N5" s="2"/>
      <c r="O5" s="2"/>
    </row>
    <row r="6" spans="1:16" ht="6" customHeight="1" x14ac:dyDescent="0.25">
      <c r="A6" s="2"/>
      <c r="B6" s="14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32">
        <v>2</v>
      </c>
    </row>
    <row r="7" spans="1:16" ht="15" customHeight="1" x14ac:dyDescent="0.25">
      <c r="A7" s="2"/>
      <c r="B7" s="15" t="s">
        <v>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6" ht="6" customHeight="1" x14ac:dyDescent="0.25">
      <c r="A8" s="2"/>
      <c r="B8" s="14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6" ht="15" customHeight="1" x14ac:dyDescent="0.25">
      <c r="A9" s="2"/>
      <c r="B9" s="15" t="s">
        <v>2</v>
      </c>
      <c r="C9" s="4">
        <f t="shared" ref="C9:K9" si="0">SUM(C10:C11)</f>
        <v>874931</v>
      </c>
      <c r="D9" s="4">
        <f t="shared" si="0"/>
        <v>883356</v>
      </c>
      <c r="E9" s="4">
        <f t="shared" si="0"/>
        <v>834063</v>
      </c>
      <c r="F9" s="4">
        <f t="shared" si="0"/>
        <v>846658</v>
      </c>
      <c r="G9" s="25">
        <f t="shared" si="0"/>
        <v>1439671</v>
      </c>
      <c r="H9" s="25">
        <f t="shared" si="0"/>
        <v>1496171</v>
      </c>
      <c r="I9" s="25">
        <f t="shared" si="0"/>
        <v>1585438</v>
      </c>
      <c r="J9" s="25">
        <f t="shared" si="0"/>
        <v>1850598</v>
      </c>
      <c r="K9" s="25">
        <f t="shared" si="0"/>
        <v>778757</v>
      </c>
      <c r="L9" s="25">
        <f t="shared" ref="L9" si="1">SUM(L10:L11)</f>
        <v>1130637</v>
      </c>
      <c r="M9" s="28"/>
      <c r="N9" s="2"/>
      <c r="O9" s="2"/>
    </row>
    <row r="10" spans="1:16" ht="15" customHeight="1" x14ac:dyDescent="0.25">
      <c r="A10" s="2"/>
      <c r="B10" s="16" t="s">
        <v>3</v>
      </c>
      <c r="C10" s="5">
        <v>727188</v>
      </c>
      <c r="D10" s="5">
        <v>736047</v>
      </c>
      <c r="E10" s="5">
        <v>700987</v>
      </c>
      <c r="F10" s="5">
        <v>702125</v>
      </c>
      <c r="G10" s="21">
        <v>1214262</v>
      </c>
      <c r="H10" s="21">
        <v>1229786</v>
      </c>
      <c r="I10" s="21">
        <v>1328863</v>
      </c>
      <c r="J10" s="21">
        <v>1537907</v>
      </c>
      <c r="K10" s="21">
        <v>728018</v>
      </c>
      <c r="L10" s="21">
        <v>1032680</v>
      </c>
      <c r="M10" s="2"/>
      <c r="N10" s="2"/>
      <c r="O10" s="2"/>
    </row>
    <row r="11" spans="1:16" ht="15" customHeight="1" x14ac:dyDescent="0.25">
      <c r="A11" s="2"/>
      <c r="B11" s="16" t="s">
        <v>4</v>
      </c>
      <c r="C11" s="5">
        <v>147743</v>
      </c>
      <c r="D11" s="5">
        <v>147309</v>
      </c>
      <c r="E11" s="5">
        <v>133076</v>
      </c>
      <c r="F11" s="5">
        <v>144533</v>
      </c>
      <c r="G11" s="21">
        <v>225409</v>
      </c>
      <c r="H11" s="21">
        <v>266385</v>
      </c>
      <c r="I11" s="21">
        <v>256575</v>
      </c>
      <c r="J11" s="21">
        <v>312691</v>
      </c>
      <c r="K11" s="21">
        <v>50739</v>
      </c>
      <c r="L11" s="21">
        <v>97957</v>
      </c>
      <c r="M11" s="2"/>
      <c r="N11" s="2"/>
      <c r="O11" s="2"/>
    </row>
    <row r="12" spans="1:16" ht="6" customHeight="1" x14ac:dyDescent="0.25">
      <c r="A12" s="2"/>
      <c r="B12" s="14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6" ht="15" customHeight="1" x14ac:dyDescent="0.25">
      <c r="A13" s="2"/>
      <c r="B13" s="15" t="s">
        <v>5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6" ht="6" customHeight="1" x14ac:dyDescent="0.25">
      <c r="A14" s="2"/>
      <c r="B14" s="14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6" ht="15" customHeight="1" x14ac:dyDescent="0.25">
      <c r="A15" s="2"/>
      <c r="B15" s="15" t="s">
        <v>2</v>
      </c>
      <c r="C15" s="20">
        <f t="shared" ref="C15:K15" si="2">SUM(C16:C17)</f>
        <v>1165640</v>
      </c>
      <c r="D15" s="20">
        <f t="shared" si="2"/>
        <v>1254123</v>
      </c>
      <c r="E15" s="20">
        <f t="shared" si="2"/>
        <v>1176838</v>
      </c>
      <c r="F15" s="20">
        <f t="shared" si="2"/>
        <v>1186472</v>
      </c>
      <c r="G15" s="20">
        <f t="shared" si="2"/>
        <v>1891070</v>
      </c>
      <c r="H15" s="20">
        <f t="shared" si="2"/>
        <v>1986613</v>
      </c>
      <c r="I15" s="20">
        <f t="shared" si="2"/>
        <v>2082856</v>
      </c>
      <c r="J15" s="20">
        <f t="shared" si="2"/>
        <v>2426226</v>
      </c>
      <c r="K15" s="20">
        <f t="shared" si="2"/>
        <v>1394865</v>
      </c>
      <c r="L15" s="20">
        <f t="shared" ref="L15" si="3">SUM(L16:L17)</f>
        <v>1748330</v>
      </c>
      <c r="M15" s="27"/>
      <c r="N15" s="2"/>
      <c r="O15" s="2"/>
    </row>
    <row r="16" spans="1:16" ht="15" customHeight="1" x14ac:dyDescent="0.25">
      <c r="A16" s="2"/>
      <c r="B16" s="16" t="s">
        <v>3</v>
      </c>
      <c r="C16" s="5">
        <v>971407</v>
      </c>
      <c r="D16" s="21">
        <v>1017268</v>
      </c>
      <c r="E16" s="5">
        <v>997091</v>
      </c>
      <c r="F16" s="5">
        <v>986658</v>
      </c>
      <c r="G16" s="21">
        <v>1594588</v>
      </c>
      <c r="H16" s="21">
        <v>1629393</v>
      </c>
      <c r="I16" s="21">
        <v>1726372</v>
      </c>
      <c r="J16" s="21">
        <v>2012687</v>
      </c>
      <c r="K16" s="21">
        <v>1321032</v>
      </c>
      <c r="L16" s="21">
        <v>1601045</v>
      </c>
      <c r="M16" s="2"/>
      <c r="N16" s="2"/>
      <c r="O16" s="2"/>
    </row>
    <row r="17" spans="1:15" ht="15" customHeight="1" x14ac:dyDescent="0.25">
      <c r="A17" s="2"/>
      <c r="B17" s="16" t="s">
        <v>4</v>
      </c>
      <c r="C17" s="5">
        <v>194233</v>
      </c>
      <c r="D17" s="5">
        <v>236855</v>
      </c>
      <c r="E17" s="5">
        <v>179747</v>
      </c>
      <c r="F17" s="5">
        <v>199814</v>
      </c>
      <c r="G17" s="5">
        <v>296482</v>
      </c>
      <c r="H17" s="5">
        <v>357220</v>
      </c>
      <c r="I17" s="5">
        <v>356484</v>
      </c>
      <c r="J17" s="5">
        <v>413539</v>
      </c>
      <c r="K17" s="5">
        <v>73833</v>
      </c>
      <c r="L17" s="5">
        <v>147285</v>
      </c>
      <c r="M17" s="2"/>
      <c r="N17" s="2"/>
      <c r="O17" s="2"/>
    </row>
    <row r="18" spans="1:15" ht="6" customHeight="1" x14ac:dyDescent="0.25">
      <c r="A18" s="2"/>
      <c r="B18" s="14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ht="15" customHeight="1" x14ac:dyDescent="0.25">
      <c r="A19" s="2"/>
      <c r="B19" s="15" t="s">
        <v>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ht="6" customHeight="1" x14ac:dyDescent="0.25">
      <c r="A20" s="2"/>
      <c r="B20" s="14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ht="15" customHeight="1" x14ac:dyDescent="0.25">
      <c r="A21" s="2"/>
      <c r="B21" s="15" t="s">
        <v>7</v>
      </c>
      <c r="C21" s="6">
        <f t="shared" ref="C21:F21" si="4">C15/C9</f>
        <v>1.3322650586160509</v>
      </c>
      <c r="D21" s="6">
        <f t="shared" si="4"/>
        <v>1.4197254561015038</v>
      </c>
      <c r="E21" s="6">
        <f t="shared" si="4"/>
        <v>1.4109701545326911</v>
      </c>
      <c r="F21" s="6">
        <f t="shared" si="4"/>
        <v>1.4013592265117674</v>
      </c>
      <c r="G21" s="6">
        <f t="shared" ref="G21:L23" si="5">G15/G9</f>
        <v>1.3135431636811465</v>
      </c>
      <c r="H21" s="6">
        <f t="shared" si="5"/>
        <v>1.3277980925977044</v>
      </c>
      <c r="I21" s="6">
        <f t="shared" si="5"/>
        <v>1.3137416915704052</v>
      </c>
      <c r="J21" s="6">
        <f t="shared" si="5"/>
        <v>1.3110497255481741</v>
      </c>
      <c r="K21" s="6">
        <f t="shared" si="5"/>
        <v>1.7911428083471481</v>
      </c>
      <c r="L21" s="6">
        <f t="shared" si="5"/>
        <v>1.5463230019891441</v>
      </c>
      <c r="M21" s="2"/>
      <c r="N21" s="2"/>
      <c r="O21" s="2"/>
    </row>
    <row r="22" spans="1:15" ht="15" customHeight="1" x14ac:dyDescent="0.25">
      <c r="A22" s="2"/>
      <c r="B22" s="16" t="s">
        <v>3</v>
      </c>
      <c r="C22" s="6">
        <f t="shared" ref="C22:F22" si="6">C16/C10</f>
        <v>1.3358402503891704</v>
      </c>
      <c r="D22" s="6">
        <f t="shared" si="6"/>
        <v>1.3820693515495615</v>
      </c>
      <c r="E22" s="6">
        <f t="shared" si="6"/>
        <v>1.4224101160221232</v>
      </c>
      <c r="F22" s="6">
        <f t="shared" si="6"/>
        <v>1.4052455047178209</v>
      </c>
      <c r="G22" s="6">
        <f t="shared" si="5"/>
        <v>1.3132157639784494</v>
      </c>
      <c r="H22" s="6">
        <f t="shared" si="5"/>
        <v>1.3249402741615208</v>
      </c>
      <c r="I22" s="6">
        <f t="shared" si="5"/>
        <v>1.2991346737775076</v>
      </c>
      <c r="J22" s="6">
        <f t="shared" si="5"/>
        <v>1.3087182775031261</v>
      </c>
      <c r="K22" s="6">
        <f t="shared" si="5"/>
        <v>1.8145595301215081</v>
      </c>
      <c r="L22" s="6">
        <f t="shared" si="5"/>
        <v>1.5503786264864237</v>
      </c>
      <c r="M22" s="2"/>
      <c r="N22" s="2"/>
      <c r="O22" s="2"/>
    </row>
    <row r="23" spans="1:15" ht="15" customHeight="1" x14ac:dyDescent="0.25">
      <c r="A23" s="2"/>
      <c r="B23" s="16" t="s">
        <v>4</v>
      </c>
      <c r="C23" s="6">
        <f t="shared" ref="C23:F23" si="7">C17/C11</f>
        <v>1.3146680384180638</v>
      </c>
      <c r="D23" s="6">
        <f t="shared" si="7"/>
        <v>1.6078786767950364</v>
      </c>
      <c r="E23" s="6">
        <f t="shared" si="7"/>
        <v>1.3507093690823289</v>
      </c>
      <c r="F23" s="6">
        <f t="shared" si="7"/>
        <v>1.3824801256460462</v>
      </c>
      <c r="G23" s="6">
        <f t="shared" si="5"/>
        <v>1.3153068422290148</v>
      </c>
      <c r="H23" s="6">
        <f t="shared" si="5"/>
        <v>1.3409914221896879</v>
      </c>
      <c r="I23" s="6">
        <f t="shared" si="5"/>
        <v>1.389394913767904</v>
      </c>
      <c r="J23" s="6">
        <f t="shared" si="5"/>
        <v>1.32251647792869</v>
      </c>
      <c r="K23" s="6">
        <f t="shared" si="5"/>
        <v>1.455152841009874</v>
      </c>
      <c r="L23" s="6">
        <f t="shared" si="5"/>
        <v>1.5035678920342599</v>
      </c>
      <c r="M23" s="2"/>
      <c r="N23" s="2"/>
      <c r="O23" s="2"/>
    </row>
    <row r="24" spans="1:15" ht="9.75" customHeight="1" x14ac:dyDescent="0.25">
      <c r="A24" s="2"/>
      <c r="B24" s="17"/>
      <c r="C24" s="10"/>
      <c r="D24" s="7"/>
      <c r="E24" s="7"/>
      <c r="F24" s="7"/>
      <c r="G24" s="7"/>
      <c r="H24" s="10"/>
      <c r="I24" s="10"/>
      <c r="J24" s="10"/>
      <c r="K24" s="10"/>
      <c r="L24" s="10"/>
      <c r="M24" s="2"/>
      <c r="N24" s="2"/>
      <c r="O24" s="2"/>
    </row>
    <row r="25" spans="1:15" ht="13.5" customHeight="1" x14ac:dyDescent="0.25">
      <c r="A25" s="2"/>
      <c r="B25" s="1" t="s">
        <v>8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10.5" customHeight="1" x14ac:dyDescent="0.25">
      <c r="A26" s="2"/>
      <c r="B26" s="33" t="s">
        <v>10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ht="10.5" customHeight="1" x14ac:dyDescent="0.25">
      <c r="A27" s="2"/>
      <c r="B27" s="1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ht="10.5" customHeight="1" x14ac:dyDescent="0.25">
      <c r="A28" s="2"/>
      <c r="B28" s="1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ht="10.5" customHeight="1" x14ac:dyDescent="0.25">
      <c r="A29" s="2"/>
      <c r="B29" s="1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ht="13.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13"/>
      <c r="N30" s="13"/>
      <c r="O30" s="13"/>
    </row>
    <row r="31" spans="1:15" ht="13.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11"/>
      <c r="M31" s="13"/>
      <c r="N31" s="13"/>
      <c r="O31" s="13"/>
    </row>
    <row r="32" spans="1:15" ht="13.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9"/>
      <c r="N32" s="29"/>
      <c r="O32" s="29"/>
    </row>
    <row r="33" spans="1:15" ht="13.5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9"/>
      <c r="N33" s="29"/>
      <c r="O33" s="29"/>
    </row>
    <row r="34" spans="1:15" ht="13.5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9"/>
      <c r="N34" s="29"/>
      <c r="O34" s="29"/>
    </row>
    <row r="35" spans="1:15" ht="13.5" x14ac:dyDescent="0.25">
      <c r="A35" s="2"/>
      <c r="B35" s="2"/>
      <c r="C35" s="2"/>
      <c r="D35" s="8"/>
      <c r="E35" s="2"/>
      <c r="F35" s="2"/>
      <c r="G35" s="2"/>
      <c r="H35" s="2"/>
      <c r="I35" s="2"/>
      <c r="J35" s="2"/>
      <c r="K35" s="2"/>
      <c r="L35" s="2"/>
      <c r="M35" s="29"/>
      <c r="N35" s="30"/>
      <c r="O35" s="29"/>
    </row>
    <row r="36" spans="1:15" ht="13.5" x14ac:dyDescent="0.25">
      <c r="A36" s="2"/>
      <c r="B36" s="2"/>
      <c r="C36" s="2"/>
      <c r="D36" s="2"/>
      <c r="E36" s="2"/>
      <c r="F36" s="2"/>
      <c r="G36" s="2"/>
      <c r="H36" s="2"/>
      <c r="I36" s="2"/>
      <c r="J36" s="9"/>
      <c r="K36" s="2"/>
      <c r="L36" s="2"/>
      <c r="M36" s="29"/>
      <c r="N36" s="22"/>
      <c r="O36" s="13"/>
    </row>
    <row r="37" spans="1:15" ht="13.5" x14ac:dyDescent="0.25">
      <c r="A37" s="2"/>
      <c r="B37" s="2"/>
      <c r="C37" s="2"/>
      <c r="D37" s="2"/>
      <c r="E37" s="2"/>
      <c r="F37" s="2"/>
      <c r="G37" s="2"/>
      <c r="H37" s="2"/>
      <c r="I37" s="2"/>
      <c r="J37" s="9"/>
      <c r="K37" s="2"/>
      <c r="L37" s="2"/>
      <c r="M37" s="29"/>
      <c r="N37" s="22"/>
      <c r="O37" s="13"/>
    </row>
    <row r="38" spans="1:15" ht="13.5" x14ac:dyDescent="0.25">
      <c r="A38" s="2"/>
      <c r="B38" s="2"/>
      <c r="C38" s="2"/>
      <c r="D38" s="2"/>
      <c r="E38" s="2"/>
      <c r="F38" s="2"/>
      <c r="G38" s="2"/>
      <c r="H38" s="2"/>
      <c r="I38" s="2"/>
      <c r="J38" s="9"/>
      <c r="K38" s="2"/>
      <c r="L38" s="2"/>
      <c r="M38" s="29"/>
      <c r="N38" s="22">
        <v>2014</v>
      </c>
      <c r="O38" s="23">
        <v>834.06299999999999</v>
      </c>
    </row>
    <row r="39" spans="1:15" ht="13.5" x14ac:dyDescent="0.25">
      <c r="A39" s="2"/>
      <c r="B39" s="2"/>
      <c r="C39" s="2"/>
      <c r="D39" s="2"/>
      <c r="E39" s="2"/>
      <c r="F39" s="2"/>
      <c r="G39" s="2"/>
      <c r="H39" s="2"/>
      <c r="I39" s="2"/>
      <c r="J39" s="9"/>
      <c r="K39" s="2"/>
      <c r="L39" s="2"/>
      <c r="M39" s="29"/>
      <c r="N39" s="22">
        <v>2015</v>
      </c>
      <c r="O39" s="23">
        <v>846.65800000000002</v>
      </c>
    </row>
    <row r="40" spans="1:15" ht="13.5" x14ac:dyDescent="0.25">
      <c r="A40" s="2"/>
      <c r="B40" s="2"/>
      <c r="C40" s="2"/>
      <c r="D40" s="2"/>
      <c r="E40" s="2"/>
      <c r="F40" s="2"/>
      <c r="G40" s="2"/>
      <c r="H40" s="2"/>
      <c r="I40" s="2"/>
      <c r="J40" s="9"/>
      <c r="K40" s="2"/>
      <c r="L40" s="2"/>
      <c r="M40" s="29"/>
      <c r="N40" s="22">
        <v>2016</v>
      </c>
      <c r="O40" s="23">
        <v>1439.671</v>
      </c>
    </row>
    <row r="41" spans="1:15" ht="13.5" x14ac:dyDescent="0.25">
      <c r="A41" s="2"/>
      <c r="B41" s="2"/>
      <c r="C41" s="2"/>
      <c r="D41" s="2"/>
      <c r="E41" s="2"/>
      <c r="F41" s="2"/>
      <c r="G41" s="2"/>
      <c r="H41" s="2"/>
      <c r="I41" s="2"/>
      <c r="J41" s="9"/>
      <c r="K41" s="2"/>
      <c r="L41" s="2"/>
      <c r="M41" s="29"/>
      <c r="N41" s="22">
        <v>2017</v>
      </c>
      <c r="O41" s="23">
        <v>1496.171</v>
      </c>
    </row>
    <row r="42" spans="1:15" ht="13.5" x14ac:dyDescent="0.25">
      <c r="A42" s="2"/>
      <c r="B42" s="2"/>
      <c r="C42" s="2"/>
      <c r="D42" s="2"/>
      <c r="E42" s="2"/>
      <c r="F42" s="2"/>
      <c r="G42" s="2"/>
      <c r="H42" s="2"/>
      <c r="I42" s="2"/>
      <c r="J42" s="9"/>
      <c r="K42" s="8"/>
      <c r="L42" s="2"/>
      <c r="M42" s="29"/>
      <c r="N42" s="22">
        <v>2018</v>
      </c>
      <c r="O42" s="23">
        <v>1545.4079999999999</v>
      </c>
    </row>
    <row r="43" spans="1:15" ht="13.5" x14ac:dyDescent="0.25">
      <c r="A43" s="2"/>
      <c r="B43" s="2"/>
      <c r="C43" s="2"/>
      <c r="D43" s="2"/>
      <c r="E43" s="2"/>
      <c r="F43" s="2"/>
      <c r="G43" s="2"/>
      <c r="H43" s="2"/>
      <c r="I43" s="2"/>
      <c r="J43" s="9"/>
      <c r="K43" s="8"/>
      <c r="L43" s="2"/>
      <c r="M43" s="29"/>
      <c r="N43" s="22">
        <v>2019</v>
      </c>
      <c r="O43" s="23">
        <v>1850.598</v>
      </c>
    </row>
    <row r="44" spans="1:15" ht="13.5" x14ac:dyDescent="0.25">
      <c r="A44" s="2"/>
      <c r="B44" s="2"/>
      <c r="C44" s="2"/>
      <c r="D44" s="2"/>
      <c r="E44" s="2"/>
      <c r="F44" s="2"/>
      <c r="G44" s="2"/>
      <c r="H44" s="2"/>
      <c r="I44" s="2"/>
      <c r="J44" s="9"/>
      <c r="K44" s="2"/>
      <c r="L44" s="2"/>
      <c r="M44" s="29"/>
      <c r="N44" s="22">
        <v>2020</v>
      </c>
      <c r="O44" s="23">
        <v>778.75699999999995</v>
      </c>
    </row>
    <row r="45" spans="1:15" ht="13.5" x14ac:dyDescent="0.25">
      <c r="A45" s="2"/>
      <c r="B45" s="2"/>
      <c r="C45" s="2"/>
      <c r="D45" s="2"/>
      <c r="E45" s="2"/>
      <c r="F45" s="2"/>
      <c r="G45" s="2"/>
      <c r="H45" s="2"/>
      <c r="I45" s="2"/>
      <c r="J45" s="9"/>
      <c r="K45" s="2"/>
      <c r="L45" s="2"/>
      <c r="M45" s="29"/>
      <c r="N45" s="22">
        <v>2021</v>
      </c>
      <c r="O45" s="23">
        <v>1130.6400000000001</v>
      </c>
    </row>
    <row r="46" spans="1:15" ht="13.5" x14ac:dyDescent="0.25">
      <c r="A46" s="2"/>
      <c r="B46" s="2"/>
      <c r="C46" s="2"/>
      <c r="D46" s="2"/>
      <c r="E46" s="2"/>
      <c r="F46" s="2"/>
      <c r="G46" s="2"/>
      <c r="H46" s="2"/>
      <c r="I46" s="2"/>
      <c r="J46" s="9"/>
      <c r="K46" s="2"/>
      <c r="L46" s="2"/>
      <c r="M46" s="29"/>
      <c r="N46" s="22"/>
      <c r="O46" s="13"/>
    </row>
    <row r="47" spans="1:15" ht="13.5" x14ac:dyDescent="0.25">
      <c r="A47" s="2"/>
      <c r="B47" s="2"/>
      <c r="C47" s="2"/>
      <c r="D47" s="2"/>
      <c r="E47" s="2"/>
      <c r="F47" s="2"/>
      <c r="G47" s="2"/>
      <c r="H47" s="2"/>
      <c r="I47" s="2"/>
      <c r="J47" s="9"/>
      <c r="K47" s="2"/>
      <c r="L47" s="2"/>
      <c r="M47" s="29"/>
      <c r="N47" s="13"/>
      <c r="O47" s="13"/>
    </row>
    <row r="48" spans="1:15" ht="13.5" x14ac:dyDescent="0.25">
      <c r="A48" s="2"/>
      <c r="B48" s="2"/>
      <c r="C48" s="2"/>
      <c r="D48" s="2"/>
      <c r="E48" s="2"/>
      <c r="F48" s="2"/>
      <c r="G48" s="2"/>
      <c r="H48" s="2"/>
      <c r="I48" s="2"/>
      <c r="J48" s="9"/>
      <c r="K48" s="2"/>
      <c r="L48" s="2"/>
      <c r="M48" s="26"/>
      <c r="N48" s="13"/>
      <c r="O48" s="13"/>
    </row>
    <row r="49" spans="1:15" ht="13.5" x14ac:dyDescent="0.25">
      <c r="A49" s="2"/>
      <c r="B49" s="2"/>
      <c r="C49" s="2"/>
      <c r="D49" s="2"/>
      <c r="E49" s="2"/>
      <c r="F49" s="2"/>
      <c r="G49" s="2"/>
      <c r="H49" s="2"/>
      <c r="I49" s="2"/>
      <c r="J49" s="9"/>
      <c r="K49" s="2"/>
      <c r="L49" s="2"/>
      <c r="M49" s="26"/>
      <c r="N49" s="26"/>
      <c r="O49" s="26"/>
    </row>
    <row r="50" spans="1:15" ht="24.7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9"/>
      <c r="K50" s="2"/>
      <c r="L50" s="2"/>
      <c r="M50" s="26"/>
      <c r="N50" s="26"/>
      <c r="O50" s="26"/>
    </row>
    <row r="55" spans="1:15" ht="12.6" customHeight="1" x14ac:dyDescent="0.2">
      <c r="J55" s="31"/>
    </row>
  </sheetData>
  <phoneticPr fontId="1" type="noConversion"/>
  <pageMargins left="0.78740157480314965" right="0.59055118110236227" top="0.78740157480314965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  20,2  </vt:lpstr>
      <vt:lpstr>\a</vt:lpstr>
      <vt:lpstr>'  20,2  '!A_impresión_IM</vt:lpstr>
      <vt:lpstr>'  20,2  '!Área_de_impresión</vt:lpstr>
      <vt:lpstr>FLUJO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2014-09-22T17:06:52Z</cp:lastPrinted>
  <dcterms:created xsi:type="dcterms:W3CDTF">1996-10-25T16:24:11Z</dcterms:created>
  <dcterms:modified xsi:type="dcterms:W3CDTF">2022-12-26T15:18:59Z</dcterms:modified>
</cp:coreProperties>
</file>