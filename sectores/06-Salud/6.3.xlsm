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CD - ICA COMPENDIO 2022\pagina\sectores\06-Salud\"/>
    </mc:Choice>
  </mc:AlternateContent>
  <bookViews>
    <workbookView xWindow="-675" yWindow="180" windowWidth="14280" windowHeight="9945"/>
  </bookViews>
  <sheets>
    <sheet name="  6,4  " sheetId="1" r:id="rId1"/>
  </sheets>
  <definedNames>
    <definedName name="_xlnm.Print_Area" localSheetId="0">'  6,4  '!$B$66:$N$82</definedName>
  </definedNames>
  <calcPr calcId="162913"/>
</workbook>
</file>

<file path=xl/calcChain.xml><?xml version="1.0" encoding="utf-8"?>
<calcChain xmlns="http://schemas.openxmlformats.org/spreadsheetml/2006/main">
  <c r="D9" i="1" l="1"/>
  <c r="H59" i="1" l="1"/>
  <c r="H58" i="1"/>
  <c r="C58" i="1"/>
  <c r="H57" i="1"/>
  <c r="C57" i="1"/>
  <c r="C56" i="1"/>
  <c r="C55" i="1"/>
  <c r="C54" i="1"/>
  <c r="C50" i="1" s="1"/>
  <c r="C53" i="1"/>
  <c r="C52" i="1"/>
  <c r="H51" i="1"/>
  <c r="C51" i="1"/>
  <c r="K50" i="1"/>
  <c r="I50" i="1"/>
  <c r="H50" i="1"/>
  <c r="F50" i="1"/>
  <c r="E50" i="1"/>
  <c r="D50" i="1"/>
  <c r="C49" i="1"/>
  <c r="C48" i="1"/>
  <c r="C47" i="1"/>
  <c r="C46" i="1"/>
  <c r="H45" i="1"/>
  <c r="H44" i="1" s="1"/>
  <c r="C45" i="1"/>
  <c r="C44" i="1" s="1"/>
  <c r="K44" i="1"/>
  <c r="F44" i="1"/>
  <c r="E44" i="1"/>
  <c r="C43" i="1"/>
  <c r="H42" i="1"/>
  <c r="C42" i="1"/>
  <c r="C41" i="1"/>
  <c r="C40" i="1"/>
  <c r="H39" i="1"/>
  <c r="C39" i="1"/>
  <c r="J38" i="1"/>
  <c r="I38" i="1"/>
  <c r="H38" i="1" s="1"/>
  <c r="F38" i="1"/>
  <c r="E38" i="1"/>
  <c r="E9" i="1" s="1"/>
  <c r="D38" i="1"/>
  <c r="H37" i="1"/>
  <c r="C37" i="1"/>
  <c r="C36" i="1"/>
  <c r="C35" i="1"/>
  <c r="C34" i="1"/>
  <c r="H33" i="1"/>
  <c r="C33" i="1"/>
  <c r="C32" i="1"/>
  <c r="C31" i="1"/>
  <c r="C30" i="1"/>
  <c r="C29" i="1"/>
  <c r="C28" i="1"/>
  <c r="H27" i="1"/>
  <c r="C27" i="1"/>
  <c r="K26" i="1"/>
  <c r="J26" i="1"/>
  <c r="I26" i="1"/>
  <c r="F26" i="1"/>
  <c r="E26" i="1"/>
  <c r="D26" i="1"/>
  <c r="C25" i="1"/>
  <c r="C24" i="1"/>
  <c r="H23" i="1"/>
  <c r="C23" i="1"/>
  <c r="H22" i="1"/>
  <c r="C22" i="1"/>
  <c r="C21" i="1"/>
  <c r="H20" i="1"/>
  <c r="C20" i="1"/>
  <c r="C19" i="1"/>
  <c r="C18" i="1"/>
  <c r="C17" i="1"/>
  <c r="C16" i="1"/>
  <c r="C15" i="1"/>
  <c r="C14" i="1"/>
  <c r="H13" i="1"/>
  <c r="C13" i="1"/>
  <c r="H12" i="1"/>
  <c r="C12" i="1"/>
  <c r="K11" i="1"/>
  <c r="K9" i="1" s="1"/>
  <c r="J11" i="1"/>
  <c r="I11" i="1"/>
  <c r="F11" i="1"/>
  <c r="E11" i="1"/>
  <c r="D11" i="1"/>
  <c r="Q74" i="1"/>
  <c r="S74" i="1"/>
  <c r="R68" i="1" s="1"/>
  <c r="H11" i="1" l="1"/>
  <c r="H26" i="1"/>
  <c r="F9" i="1"/>
  <c r="C26" i="1"/>
  <c r="C38" i="1"/>
  <c r="J9" i="1"/>
  <c r="C11" i="1"/>
  <c r="C9" i="1" s="1"/>
  <c r="I9" i="1"/>
  <c r="H9" i="1"/>
  <c r="R73" i="1"/>
  <c r="R72" i="1"/>
  <c r="R71" i="1"/>
  <c r="R70" i="1"/>
  <c r="R69" i="1"/>
  <c r="R74" i="1" l="1"/>
</calcChain>
</file>

<file path=xl/sharedStrings.xml><?xml version="1.0" encoding="utf-8"?>
<sst xmlns="http://schemas.openxmlformats.org/spreadsheetml/2006/main" count="286" uniqueCount="71">
  <si>
    <t>-</t>
  </si>
  <si>
    <t>ESSALUD</t>
  </si>
  <si>
    <t>Hospital</t>
  </si>
  <si>
    <t>Centro Salud</t>
  </si>
  <si>
    <t>Posta Médica</t>
  </si>
  <si>
    <t>Puesto Salud</t>
  </si>
  <si>
    <t>Otros</t>
  </si>
  <si>
    <t>(clínicas y centros médicos particulares)</t>
  </si>
  <si>
    <t>Centro Médico</t>
  </si>
  <si>
    <t>Dirección Regional de Salud</t>
  </si>
  <si>
    <t>Total</t>
  </si>
  <si>
    <t>Pisco</t>
  </si>
  <si>
    <t>Ica</t>
  </si>
  <si>
    <t xml:space="preserve">              ESSALUD - Ica, Gerencia Médica, División de Inteligencia Sanitaria, Área de Estadística.</t>
  </si>
  <si>
    <t xml:space="preserve">6.3 ICA: ESTABLECIMIENTOS DE SALUD POR ENTIDAD Y TIPO DE ESTABLECIMIENTO, </t>
  </si>
  <si>
    <t xml:space="preserve">     SEGÚN PROVINCIA Y DISTRITO, ENERO 2022</t>
  </si>
  <si>
    <t>Provincia                                                     Distrito</t>
  </si>
  <si>
    <t>Centro</t>
  </si>
  <si>
    <t>Puesto</t>
  </si>
  <si>
    <t xml:space="preserve">Centro </t>
  </si>
  <si>
    <t>Posta</t>
  </si>
  <si>
    <t>de Salud</t>
  </si>
  <si>
    <t>Médico</t>
  </si>
  <si>
    <t>Médica</t>
  </si>
  <si>
    <t>Provincia Ica</t>
  </si>
  <si>
    <t>La Tinguiña</t>
  </si>
  <si>
    <t>Los Aquijes</t>
  </si>
  <si>
    <t>Ocucaje</t>
  </si>
  <si>
    <t>Pachacútec</t>
  </si>
  <si>
    <t>Parcona</t>
  </si>
  <si>
    <t>Pueblo Nuevo</t>
  </si>
  <si>
    <t>Salas</t>
  </si>
  <si>
    <t>San José de Los Molinos</t>
  </si>
  <si>
    <t>San Juan Bautista</t>
  </si>
  <si>
    <t>Santiago</t>
  </si>
  <si>
    <t>Subtanjalla</t>
  </si>
  <si>
    <t>Tate</t>
  </si>
  <si>
    <t>Yauca del Rosario</t>
  </si>
  <si>
    <t>Provincia Chincha</t>
  </si>
  <si>
    <t>Chincha Alta</t>
  </si>
  <si>
    <t>Alto Larán</t>
  </si>
  <si>
    <t>Chavín</t>
  </si>
  <si>
    <t>Chincha Baja</t>
  </si>
  <si>
    <t>El Carmen</t>
  </si>
  <si>
    <t>Grocio Prado</t>
  </si>
  <si>
    <t>San Juan de Yanac</t>
  </si>
  <si>
    <t>San Pedro de Huacarpana</t>
  </si>
  <si>
    <t>Sunampe</t>
  </si>
  <si>
    <t>Tambo de Mora</t>
  </si>
  <si>
    <t>Provincia Nasca</t>
  </si>
  <si>
    <t xml:space="preserve">Nasca </t>
  </si>
  <si>
    <t>Changuillo</t>
  </si>
  <si>
    <t xml:space="preserve">El Ingenio  </t>
  </si>
  <si>
    <t>Marcona</t>
  </si>
  <si>
    <t>Vista alegre</t>
  </si>
  <si>
    <t>Provincia Palpa</t>
  </si>
  <si>
    <t xml:space="preserve">Palpa </t>
  </si>
  <si>
    <t>Llipata</t>
  </si>
  <si>
    <t>Río Grande</t>
  </si>
  <si>
    <t>Santa Cruz</t>
  </si>
  <si>
    <t>Tibillo</t>
  </si>
  <si>
    <t>Provincia Pisco</t>
  </si>
  <si>
    <t>Huancano</t>
  </si>
  <si>
    <t>Humay</t>
  </si>
  <si>
    <t>Independencia</t>
  </si>
  <si>
    <t>Paracas</t>
  </si>
  <si>
    <t>San Andrés</t>
  </si>
  <si>
    <t>San Clemente</t>
  </si>
  <si>
    <t>Túpac Amaru Inca</t>
  </si>
  <si>
    <t>Otros Centros de Atención</t>
  </si>
  <si>
    <t xml:space="preserve">Fuente: Dirección Regional de Salud - Ica, Oficina de Informática, Telecomunicaciones y Estadística.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</si>
</sst>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8" x14ac:knownFonts="1">
    <font>
      <sz val="10"/>
      <name val="Arial"/>
    </font>
    <font>
      <sz val="8"/>
      <color indexed="8"/>
      <name val="Arial Narrow"/>
      <family val="2"/>
    </font>
    <font>
      <b/>
      <sz val="8"/>
      <color indexed="8"/>
      <name val="Arial Narrow"/>
      <family val="2"/>
    </font>
    <font>
      <b/>
      <sz val="8"/>
      <name val="Arial Narrow"/>
      <family val="2"/>
    </font>
    <font>
      <b/>
      <sz val="7"/>
      <color indexed="8"/>
      <name val="Arial Narrow"/>
      <family val="2"/>
    </font>
    <font>
      <sz val="9"/>
      <name val="Arial Narrow"/>
      <family val="2"/>
    </font>
    <font>
      <sz val="9"/>
      <color indexed="8"/>
      <name val="Arial Narrow"/>
      <family val="2"/>
    </font>
    <font>
      <sz val="8"/>
      <name val="Arial Narrow"/>
      <family val="2"/>
    </font>
    <font>
      <sz val="7"/>
      <color indexed="8"/>
      <name val="Arial Narrow"/>
      <family val="2"/>
    </font>
    <font>
      <b/>
      <sz val="9"/>
      <name val="Arial Narrow"/>
      <family val="2"/>
    </font>
    <font>
      <sz val="9"/>
      <color theme="0"/>
      <name val="Arial Narrow"/>
      <family val="2"/>
    </font>
    <font>
      <b/>
      <sz val="9"/>
      <color rgb="FFFF0000"/>
      <name val="Arial Narrow"/>
      <family val="2"/>
    </font>
    <font>
      <sz val="9"/>
      <color rgb="FFFF0000"/>
      <name val="Arial Narrow"/>
      <family val="2"/>
    </font>
    <font>
      <b/>
      <sz val="9"/>
      <color indexed="8"/>
      <name val="Arial Narrow"/>
      <family val="2"/>
    </font>
    <font>
      <sz val="8"/>
      <name val="Arial"/>
      <family val="2"/>
    </font>
    <font>
      <u/>
      <sz val="10"/>
      <name val="Arial"/>
      <family val="2"/>
    </font>
    <font>
      <b/>
      <sz val="11"/>
      <name val="Arial Narrow"/>
      <family val="2"/>
    </font>
    <font>
      <sz val="10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1" fillId="0" borderId="3" xfId="0" applyFont="1" applyBorder="1"/>
    <xf numFmtId="0" fontId="2" fillId="0" borderId="3" xfId="0" applyFont="1" applyBorder="1"/>
    <xf numFmtId="0" fontId="3" fillId="0" borderId="1" xfId="0" applyFont="1" applyBorder="1" applyAlignment="1">
      <alignment horizontal="right" vertical="center"/>
    </xf>
    <xf numFmtId="0" fontId="10" fillId="0" borderId="0" xfId="0" applyFont="1"/>
    <xf numFmtId="164" fontId="10" fillId="0" borderId="0" xfId="0" applyNumberFormat="1" applyFont="1"/>
    <xf numFmtId="0" fontId="3" fillId="0" borderId="0" xfId="0" applyFont="1"/>
    <xf numFmtId="0" fontId="7" fillId="0" borderId="0" xfId="0" quotePrefix="1" applyFont="1" applyAlignment="1">
      <alignment horizontal="right"/>
    </xf>
    <xf numFmtId="2" fontId="10" fillId="0" borderId="0" xfId="0" applyNumberFormat="1" applyFont="1"/>
    <xf numFmtId="0" fontId="9" fillId="0" borderId="0" xfId="0" applyFont="1" applyAlignment="1">
      <alignment horizontal="left" vertical="center"/>
    </xf>
    <xf numFmtId="0" fontId="11" fillId="0" borderId="0" xfId="0" applyFont="1"/>
    <xf numFmtId="0" fontId="12" fillId="0" borderId="0" xfId="0" applyFont="1"/>
    <xf numFmtId="0" fontId="11" fillId="0" borderId="0" xfId="0" applyFont="1" applyAlignment="1">
      <alignment horizontal="right"/>
    </xf>
    <xf numFmtId="0" fontId="13" fillId="0" borderId="0" xfId="0" applyFont="1" applyAlignment="1">
      <alignment horizontal="left" vertical="center"/>
    </xf>
    <xf numFmtId="17" fontId="11" fillId="0" borderId="0" xfId="0" applyNumberFormat="1" applyFont="1"/>
    <xf numFmtId="0" fontId="3" fillId="0" borderId="2" xfId="0" applyFont="1" applyBorder="1" applyAlignment="1">
      <alignment horizontal="center"/>
    </xf>
    <xf numFmtId="0" fontId="3" fillId="0" borderId="0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2" fillId="0" borderId="3" xfId="0" applyFont="1" applyBorder="1" applyAlignment="1">
      <alignment horizontal="left"/>
    </xf>
    <xf numFmtId="0" fontId="7" fillId="0" borderId="3" xfId="0" applyFont="1" applyBorder="1"/>
    <xf numFmtId="0" fontId="3" fillId="0" borderId="3" xfId="0" applyFont="1" applyBorder="1"/>
    <xf numFmtId="0" fontId="3" fillId="0" borderId="0" xfId="0" applyFont="1" applyAlignment="1">
      <alignment horizontal="right"/>
    </xf>
    <xf numFmtId="0" fontId="7" fillId="0" borderId="3" xfId="0" applyFont="1" applyBorder="1" applyAlignment="1">
      <alignment vertical="center"/>
    </xf>
    <xf numFmtId="0" fontId="1" fillId="2" borderId="4" xfId="0" applyFont="1" applyFill="1" applyBorder="1"/>
    <xf numFmtId="0" fontId="1" fillId="0" borderId="1" xfId="0" applyFont="1" applyBorder="1"/>
    <xf numFmtId="0" fontId="15" fillId="0" borderId="0" xfId="0" applyFont="1"/>
    <xf numFmtId="0" fontId="16" fillId="0" borderId="0" xfId="0" applyFont="1" applyAlignment="1">
      <alignment horizontal="right"/>
    </xf>
    <xf numFmtId="0" fontId="17" fillId="0" borderId="0" xfId="0" applyFont="1"/>
    <xf numFmtId="0" fontId="3" fillId="0" borderId="0" xfId="0" applyFont="1" applyBorder="1" applyAlignment="1">
      <alignment horizontal="right" vertical="center" wrapText="1"/>
    </xf>
    <xf numFmtId="0" fontId="3" fillId="0" borderId="1" xfId="0" applyFont="1" applyBorder="1" applyAlignment="1">
      <alignment horizontal="right" vertical="center" wrapText="1"/>
    </xf>
    <xf numFmtId="0" fontId="2" fillId="0" borderId="5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right" vertical="center"/>
    </xf>
    <xf numFmtId="0" fontId="3" fillId="0" borderId="9" xfId="0" applyFont="1" applyBorder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3" fillId="0" borderId="1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ysClr val="windowText" lastClr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es-ES" sz="900">
                <a:solidFill>
                  <a:sysClr val="windowText" lastClr="000000"/>
                </a:solidFill>
              </a:rPr>
              <a:t>ICA: ESTABLECIMIENTOS DE SALUD, ENERO 2022 </a:t>
            </a:r>
          </a:p>
          <a:p>
            <a:pPr>
              <a:defRPr sz="900" b="1" i="0" u="none" strike="noStrike" baseline="0">
                <a:solidFill>
                  <a:sysClr val="windowText" lastClr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es-ES" sz="900" b="0">
                <a:solidFill>
                  <a:sysClr val="windowText" lastClr="000000"/>
                </a:solidFill>
              </a:rPr>
              <a:t>(Porcentaje)</a:t>
            </a:r>
          </a:p>
        </c:rich>
      </c:tx>
      <c:layout>
        <c:manualLayout>
          <c:xMode val="edge"/>
          <c:yMode val="edge"/>
          <c:x val="0.26652478148969244"/>
          <c:y val="1.8587395676664013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001223128052019"/>
          <c:y val="0.33063237881781632"/>
          <c:w val="0.64483702798446851"/>
          <c:h val="0.44504330217149812"/>
        </c:manualLayout>
      </c:layout>
      <c:pie3DChart>
        <c:varyColors val="1"/>
        <c:ser>
          <c:idx val="0"/>
          <c:order val="0"/>
          <c:tx>
            <c:strRef>
              <c:f>'  6,4  '!$Q$67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0"/>
            <c:bubble3D val="0"/>
            <c:spPr>
              <a:solidFill>
                <a:srgbClr val="808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63D8-40A8-B01E-D0621432A8FD}"/>
              </c:ext>
            </c:extLst>
          </c:dPt>
          <c:dPt>
            <c:idx val="1"/>
            <c:bubble3D val="0"/>
            <c:spPr>
              <a:solidFill>
                <a:srgbClr val="80206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63D8-40A8-B01E-D0621432A8FD}"/>
              </c:ext>
            </c:extLst>
          </c:dPt>
          <c:dPt>
            <c:idx val="2"/>
            <c:bubble3D val="0"/>
            <c:spPr>
              <a:solidFill>
                <a:srgbClr val="FFFF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63D8-40A8-B01E-D0621432A8FD}"/>
              </c:ext>
            </c:extLst>
          </c:dPt>
          <c:dPt>
            <c:idx val="3"/>
            <c:bubble3D val="0"/>
            <c:spPr>
              <a:solidFill>
                <a:srgbClr val="A0E0E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63D8-40A8-B01E-D0621432A8FD}"/>
              </c:ext>
            </c:extLst>
          </c:dPt>
          <c:dPt>
            <c:idx val="4"/>
            <c:bubble3D val="0"/>
            <c:spPr>
              <a:solidFill>
                <a:srgbClr val="600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63D8-40A8-B01E-D0621432A8FD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A-63D8-40A8-B01E-D0621432A8FD}"/>
              </c:ext>
            </c:extLst>
          </c:dPt>
          <c:dLbls>
            <c:dLbl>
              <c:idx val="0"/>
              <c:layout>
                <c:manualLayout>
                  <c:x val="-4.0653201931848071E-2"/>
                  <c:y val="-1.6642956805120551E-2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 Narrow"/>
                        <a:ea typeface="Arial Narrow"/>
                        <a:cs typeface="Arial Narrow"/>
                      </a:defRPr>
                    </a:pPr>
                    <a:fld id="{1BE270F5-25A1-4C9E-A8CE-CC528E02DD50}" type="CATEGORYNAME">
                      <a:rPr lang="en-US"/>
                      <a:pPr>
                        <a:defRPr sz="800" b="0" i="0" u="none" strike="noStrike" baseline="0">
                          <a:solidFill>
                            <a:srgbClr val="000000"/>
                          </a:solidFill>
                          <a:latin typeface="Arial Narrow"/>
                          <a:ea typeface="Arial Narrow"/>
                          <a:cs typeface="Arial Narrow"/>
                        </a:defRPr>
                      </a:pPr>
                      <a:t>[NOMBRE DE CATEGORÍA]</a:t>
                    </a:fld>
                    <a:r>
                      <a:rPr lang="en-US" baseline="0"/>
                      <a:t>
3,9%</a:t>
                    </a:r>
                  </a:p>
                </c:rich>
              </c:tx>
              <c:numFmt formatCode="0%" sourceLinked="0"/>
              <c:spPr>
                <a:noFill/>
                <a:ln w="25400">
                  <a:noFill/>
                </a:ln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63D8-40A8-B01E-D0621432A8FD}"/>
                </c:ext>
              </c:extLst>
            </c:dLbl>
            <c:dLbl>
              <c:idx val="1"/>
              <c:layout>
                <c:manualLayout>
                  <c:x val="1.4878267822805546E-2"/>
                  <c:y val="-8.5421850149771661E-3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 Narrow"/>
                        <a:ea typeface="Arial Narrow"/>
                        <a:cs typeface="Arial Narrow"/>
                      </a:defRPr>
                    </a:pPr>
                    <a:fld id="{AF13C457-2035-4B17-97CA-D30824DD74F7}" type="CATEGORYNAME">
                      <a:rPr lang="en-US"/>
                      <a:pPr>
                        <a:defRPr sz="800" b="0" i="0" u="none" strike="noStrike" baseline="0">
                          <a:solidFill>
                            <a:srgbClr val="000000"/>
                          </a:solidFill>
                          <a:latin typeface="Arial Narrow"/>
                          <a:ea typeface="Arial Narrow"/>
                          <a:cs typeface="Arial Narrow"/>
                        </a:defRPr>
                      </a:pPr>
                      <a:t>[NOMBRE DE CATEGORÍA]</a:t>
                    </a:fld>
                    <a:r>
                      <a:rPr lang="en-US" baseline="0"/>
                      <a:t>
19,6%</a:t>
                    </a:r>
                  </a:p>
                </c:rich>
              </c:tx>
              <c:numFmt formatCode="0%" sourceLinked="0"/>
              <c:spPr>
                <a:noFill/>
                <a:ln w="25400">
                  <a:noFill/>
                </a:ln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63D8-40A8-B01E-D0621432A8FD}"/>
                </c:ext>
              </c:extLst>
            </c:dLbl>
            <c:dLbl>
              <c:idx val="2"/>
              <c:layout>
                <c:manualLayout>
                  <c:x val="-7.6943449087435001E-2"/>
                  <c:y val="6.5781108216491524E-2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 Narrow"/>
                        <a:ea typeface="Arial Narrow"/>
                        <a:cs typeface="Arial Narrow"/>
                      </a:defRPr>
                    </a:pPr>
                    <a:fld id="{6A10E607-1E66-4C4E-877C-A05EB5184FA9}" type="CATEGORYNAME">
                      <a:rPr lang="en-US"/>
                      <a:pPr>
                        <a:defRPr sz="800" b="0" i="0" u="none" strike="noStrike" baseline="0">
                          <a:solidFill>
                            <a:srgbClr val="000000"/>
                          </a:solidFill>
                          <a:latin typeface="Arial Narrow"/>
                          <a:ea typeface="Arial Narrow"/>
                          <a:cs typeface="Arial Narrow"/>
                        </a:defRPr>
                      </a:pPr>
                      <a:t>[NOMBRE DE CATEGORÍA]</a:t>
                    </a:fld>
                    <a:r>
                      <a:rPr lang="en-US" baseline="0"/>
                      <a:t>
36,5%</a:t>
                    </a:r>
                  </a:p>
                </c:rich>
              </c:tx>
              <c:numFmt formatCode="0%" sourceLinked="0"/>
              <c:spPr>
                <a:noFill/>
                <a:ln w="25400">
                  <a:noFill/>
                </a:ln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63D8-40A8-B01E-D0621432A8FD}"/>
                </c:ext>
              </c:extLst>
            </c:dLbl>
            <c:dLbl>
              <c:idx val="3"/>
              <c:layout>
                <c:manualLayout>
                  <c:x val="-2.4828293534879364E-2"/>
                  <c:y val="8.9659573222492073E-2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en-US"/>
                      <a:t>Centro
 Médico
2,0%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63D8-40A8-B01E-D0621432A8FD}"/>
                </c:ext>
              </c:extLst>
            </c:dLbl>
            <c:dLbl>
              <c:idx val="4"/>
              <c:layout>
                <c:manualLayout>
                  <c:x val="-7.2201411716739286E-2"/>
                  <c:y val="-3.3729884887984597E-2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 Narrow"/>
                        <a:ea typeface="Arial Narrow"/>
                        <a:cs typeface="Arial Narrow"/>
                      </a:defRPr>
                    </a:pPr>
                    <a:fld id="{778988EB-4FD7-4428-A7F5-D526751E6AB0}" type="CATEGORYNAME">
                      <a:rPr lang="en-US"/>
                      <a:pPr>
                        <a:defRPr sz="800" b="0" i="0" u="none" strike="noStrike" baseline="0">
                          <a:solidFill>
                            <a:srgbClr val="000000"/>
                          </a:solidFill>
                          <a:latin typeface="Arial Narrow"/>
                          <a:ea typeface="Arial Narrow"/>
                          <a:cs typeface="Arial Narrow"/>
                        </a:defRPr>
                      </a:pPr>
                      <a:t>[NOMBRE DE CATEGORÍA]</a:t>
                    </a:fld>
                    <a:r>
                      <a:rPr lang="en-US" baseline="0"/>
                      <a:t>
2,0%</a:t>
                    </a:r>
                  </a:p>
                </c:rich>
              </c:tx>
              <c:numFmt formatCode="0%" sourceLinked="0"/>
              <c:spPr>
                <a:noFill/>
                <a:ln w="25400">
                  <a:noFill/>
                </a:ln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63D8-40A8-B01E-D0621432A8FD}"/>
                </c:ext>
              </c:extLst>
            </c:dLbl>
            <c:dLbl>
              <c:idx val="5"/>
              <c:layout>
                <c:manualLayout>
                  <c:x val="8.063473129055998E-2"/>
                  <c:y val="-0.10219945555132748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 Narrow"/>
                        <a:ea typeface="Arial Narrow"/>
                        <a:cs typeface="Arial Narrow"/>
                      </a:defRPr>
                    </a:pPr>
                    <a:r>
                      <a:rPr lang="en-US"/>
                      <a:t>Otros
36,0%</a:t>
                    </a:r>
                  </a:p>
                </c:rich>
              </c:tx>
              <c:numFmt formatCode="0%" sourceLinked="0"/>
              <c:spPr>
                <a:noFill/>
                <a:ln w="25400">
                  <a:noFill/>
                </a:ln>
              </c:spPr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A-63D8-40A8-B01E-D0621432A8FD}"/>
                </c:ext>
              </c:extLst>
            </c:dLbl>
            <c:numFmt formatCode="0%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 Narrow"/>
                    <a:ea typeface="Arial Narrow"/>
                    <a:cs typeface="Arial Narrow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  6,4  '!$P$68:$P$73</c:f>
              <c:strCache>
                <c:ptCount val="6"/>
                <c:pt idx="0">
                  <c:v>Hospital</c:v>
                </c:pt>
                <c:pt idx="1">
                  <c:v>Centro Salud</c:v>
                </c:pt>
                <c:pt idx="2">
                  <c:v>Puesto Salud</c:v>
                </c:pt>
                <c:pt idx="3">
                  <c:v>Centro Médico</c:v>
                </c:pt>
                <c:pt idx="4">
                  <c:v>Posta Médica</c:v>
                </c:pt>
                <c:pt idx="5">
                  <c:v>Otros</c:v>
                </c:pt>
              </c:strCache>
            </c:strRef>
          </c:cat>
          <c:val>
            <c:numRef>
              <c:f>'  6,4  '!$Q$68:$Q$73</c:f>
              <c:numCache>
                <c:formatCode>0.0</c:formatCode>
                <c:ptCount val="6"/>
                <c:pt idx="0">
                  <c:v>3.9</c:v>
                </c:pt>
                <c:pt idx="1">
                  <c:v>19.600000000000001</c:v>
                </c:pt>
                <c:pt idx="2">
                  <c:v>36.5</c:v>
                </c:pt>
                <c:pt idx="3">
                  <c:v>2</c:v>
                </c:pt>
                <c:pt idx="4">
                  <c:v>2</c:v>
                </c:pt>
                <c:pt idx="5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3D8-40A8-B01E-D0621432A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>
      <a:outerShdw dist="35921" dir="2700000" algn="br">
        <a:schemeClr val="bg1"/>
      </a:outerShdw>
    </a:effectLst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257175</xdr:colOff>
      <xdr:row>10</xdr:row>
      <xdr:rowOff>66674</xdr:rowOff>
    </xdr:from>
    <xdr:to>
      <xdr:col>21</xdr:col>
      <xdr:colOff>514350</xdr:colOff>
      <xdr:row>30</xdr:row>
      <xdr:rowOff>57150</xdr:rowOff>
    </xdr:to>
    <xdr:grpSp>
      <xdr:nvGrpSpPr>
        <xdr:cNvPr id="3" name="grafico" hidden="1"/>
        <xdr:cNvGrpSpPr/>
      </xdr:nvGrpSpPr>
      <xdr:grpSpPr>
        <a:xfrm>
          <a:off x="6715125" y="1228724"/>
          <a:ext cx="4114800" cy="2847976"/>
          <a:chOff x="533400" y="9067799"/>
          <a:chExt cx="4779358" cy="2419351"/>
        </a:xfrm>
      </xdr:grpSpPr>
      <xdr:graphicFrame macro="">
        <xdr:nvGraphicFramePr>
          <xdr:cNvPr id="1355" name="Gráfico 3" hidden="1"/>
          <xdr:cNvGraphicFramePr>
            <a:graphicFrameLocks/>
          </xdr:cNvGraphicFramePr>
        </xdr:nvGraphicFramePr>
        <xdr:xfrm>
          <a:off x="533400" y="9067799"/>
          <a:ext cx="4779358" cy="241935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" name="1 CuadroTexto" hidden="1"/>
          <xdr:cNvSpPr txBox="1"/>
        </xdr:nvSpPr>
        <xdr:spPr>
          <a:xfrm>
            <a:off x="590551" y="11287126"/>
            <a:ext cx="2354915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PE" sz="800" b="1">
                <a:latin typeface="Arial Narrow" panose="020B0606020202030204" pitchFamily="34" charset="0"/>
              </a:rPr>
              <a:t>Fuente: Dirección Regional de Salud - Ica</a:t>
            </a:r>
          </a:p>
        </xdr:txBody>
      </xdr:sp>
    </xdr:grpSp>
    <xdr:clientData/>
  </xdr:twoCellAnchor>
  <xdr:twoCellAnchor editAs="oneCell">
    <xdr:from>
      <xdr:col>13</xdr:col>
      <xdr:colOff>245251</xdr:colOff>
      <xdr:row>2</xdr:row>
      <xdr:rowOff>130951</xdr:rowOff>
    </xdr:from>
    <xdr:to>
      <xdr:col>16</xdr:col>
      <xdr:colOff>331228</xdr:colOff>
      <xdr:row>8</xdr:row>
      <xdr:rowOff>9525</xdr:rowOff>
    </xdr:to>
    <xdr:pic macro="[0]!Imagenes">
      <xdr:nvPicPr>
        <xdr:cNvPr id="5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3201" y="445276"/>
          <a:ext cx="1409952" cy="564374"/>
        </a:xfrm>
        <a:prstGeom prst="rect">
          <a:avLst/>
        </a:prstGeom>
      </xdr:spPr>
    </xdr:pic>
    <xdr:clientData/>
  </xdr:twoCellAnchor>
  <xdr:twoCellAnchor editAs="oneCell">
    <xdr:from>
      <xdr:col>13</xdr:col>
      <xdr:colOff>247650</xdr:colOff>
      <xdr:row>2</xdr:row>
      <xdr:rowOff>133351</xdr:rowOff>
    </xdr:from>
    <xdr:to>
      <xdr:col>16</xdr:col>
      <xdr:colOff>333628</xdr:colOff>
      <xdr:row>8</xdr:row>
      <xdr:rowOff>13892</xdr:rowOff>
    </xdr:to>
    <xdr:pic macro="[0]!Imagenes">
      <xdr:nvPicPr>
        <xdr:cNvPr id="4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5600" y="447676"/>
          <a:ext cx="1409953" cy="5663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T94"/>
  <sheetViews>
    <sheetView showGridLines="0" tabSelected="1" zoomScaleNormal="100" workbookViewId="0">
      <selection activeCell="D69" sqref="D69"/>
    </sheetView>
  </sheetViews>
  <sheetFormatPr baseColWidth="10" defaultRowHeight="12.75" customHeight="1" x14ac:dyDescent="0.2"/>
  <cols>
    <col min="1" max="1" width="1.7109375" customWidth="1"/>
    <col min="2" max="2" width="23.140625" customWidth="1"/>
    <col min="3" max="3" width="7.7109375" customWidth="1"/>
    <col min="4" max="4" width="8.7109375" customWidth="1"/>
    <col min="5" max="5" width="7.7109375" customWidth="1"/>
    <col min="6" max="6" width="6.7109375" customWidth="1"/>
    <col min="7" max="7" width="0.85546875" customWidth="1"/>
    <col min="8" max="8" width="7.7109375" customWidth="1"/>
    <col min="9" max="9" width="8.7109375" customWidth="1"/>
    <col min="10" max="10" width="7.7109375" customWidth="1"/>
    <col min="11" max="11" width="6.7109375" customWidth="1"/>
    <col min="12" max="13" width="4.7109375" customWidth="1"/>
    <col min="14" max="14" width="6.85546875" customWidth="1"/>
    <col min="15" max="15" width="7.42578125" customWidth="1"/>
    <col min="16" max="16" width="5.5703125" customWidth="1"/>
    <col min="17" max="17" width="6.28515625" customWidth="1"/>
    <col min="18" max="18" width="6.5703125" customWidth="1"/>
    <col min="19" max="19" width="6.7109375" customWidth="1"/>
    <col min="20" max="20" width="7" customWidth="1"/>
    <col min="21" max="24" width="11.42578125" customWidth="1"/>
  </cols>
  <sheetData>
    <row r="2" spans="1:16" ht="12" customHeight="1" x14ac:dyDescent="0.25">
      <c r="A2" s="4"/>
      <c r="B2" s="19" t="s">
        <v>14</v>
      </c>
      <c r="C2" s="4"/>
      <c r="D2" s="4"/>
      <c r="E2" s="4"/>
      <c r="F2" s="4"/>
      <c r="G2" s="4"/>
      <c r="H2" s="4"/>
      <c r="I2" s="4"/>
      <c r="J2" s="4"/>
      <c r="K2" s="4"/>
    </row>
    <row r="3" spans="1:16" ht="12" customHeight="1" x14ac:dyDescent="0.25">
      <c r="A3" s="4"/>
      <c r="B3" s="15" t="s">
        <v>15</v>
      </c>
      <c r="C3" s="4"/>
      <c r="D3" s="4"/>
      <c r="E3" s="4"/>
      <c r="F3" s="4"/>
      <c r="G3" s="4"/>
      <c r="H3" s="4"/>
      <c r="I3" s="4"/>
      <c r="J3" s="20"/>
      <c r="K3" s="4"/>
    </row>
    <row r="4" spans="1:16" ht="3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</row>
    <row r="5" spans="1:16" ht="12" customHeight="1" x14ac:dyDescent="0.25">
      <c r="A5" s="4"/>
      <c r="B5" s="38" t="s">
        <v>16</v>
      </c>
      <c r="C5" s="40" t="s">
        <v>9</v>
      </c>
      <c r="D5" s="41"/>
      <c r="E5" s="41"/>
      <c r="F5" s="41"/>
      <c r="G5" s="21"/>
      <c r="H5" s="41" t="s">
        <v>1</v>
      </c>
      <c r="I5" s="41"/>
      <c r="J5" s="41"/>
      <c r="K5" s="41"/>
    </row>
    <row r="6" spans="1:16" ht="12" customHeight="1" x14ac:dyDescent="0.25">
      <c r="A6" s="4"/>
      <c r="B6" s="39"/>
      <c r="C6" s="42" t="s">
        <v>10</v>
      </c>
      <c r="D6" s="36" t="s">
        <v>2</v>
      </c>
      <c r="E6" s="22" t="s">
        <v>17</v>
      </c>
      <c r="F6" s="22" t="s">
        <v>18</v>
      </c>
      <c r="G6" s="22"/>
      <c r="H6" s="44" t="s">
        <v>10</v>
      </c>
      <c r="I6" s="36" t="s">
        <v>2</v>
      </c>
      <c r="J6" s="22" t="s">
        <v>19</v>
      </c>
      <c r="K6" s="22" t="s">
        <v>20</v>
      </c>
      <c r="P6" s="35">
        <v>2</v>
      </c>
    </row>
    <row r="7" spans="1:16" ht="12" customHeight="1" x14ac:dyDescent="0.25">
      <c r="A7" s="4"/>
      <c r="B7" s="39"/>
      <c r="C7" s="43"/>
      <c r="D7" s="37"/>
      <c r="E7" s="9" t="s">
        <v>21</v>
      </c>
      <c r="F7" s="9" t="s">
        <v>21</v>
      </c>
      <c r="G7" s="9"/>
      <c r="H7" s="45"/>
      <c r="I7" s="37"/>
      <c r="J7" s="23" t="s">
        <v>22</v>
      </c>
      <c r="K7" s="23" t="s">
        <v>23</v>
      </c>
    </row>
    <row r="8" spans="1:16" ht="3" customHeight="1" x14ac:dyDescent="0.25">
      <c r="A8" s="4"/>
      <c r="B8" s="8"/>
      <c r="C8" s="24"/>
      <c r="D8" s="24"/>
      <c r="E8" s="25"/>
      <c r="F8" s="25"/>
      <c r="G8" s="25"/>
      <c r="H8" s="24"/>
      <c r="I8" s="24"/>
      <c r="J8" s="25"/>
      <c r="K8" s="25"/>
    </row>
    <row r="9" spans="1:16" ht="11.25" customHeight="1" x14ac:dyDescent="0.25">
      <c r="A9" s="4"/>
      <c r="B9" s="26" t="s">
        <v>10</v>
      </c>
      <c r="C9" s="12">
        <f t="shared" ref="C9:F9" si="0">+C11+C26+C38+C44+C50</f>
        <v>148</v>
      </c>
      <c r="D9" s="12">
        <f>+D11+D26+D38+D50</f>
        <v>5</v>
      </c>
      <c r="E9" s="12">
        <f t="shared" si="0"/>
        <v>50</v>
      </c>
      <c r="F9" s="12">
        <f t="shared" si="0"/>
        <v>93</v>
      </c>
      <c r="G9" s="12"/>
      <c r="H9" s="12">
        <f>+H11+H26+H38+H44+H50+H59</f>
        <v>17</v>
      </c>
      <c r="I9" s="12">
        <f>+I11+I26+I38+I50</f>
        <v>5</v>
      </c>
      <c r="J9" s="12">
        <f>+J11+J26+J38+J59</f>
        <v>6</v>
      </c>
      <c r="K9" s="12">
        <f>+K11+K26+K44+K50+K59</f>
        <v>6</v>
      </c>
    </row>
    <row r="10" spans="1:16" ht="1.5" customHeight="1" x14ac:dyDescent="0.25">
      <c r="A10" s="4"/>
      <c r="B10" s="7"/>
      <c r="C10" s="5"/>
      <c r="D10" s="5"/>
      <c r="E10" s="5"/>
      <c r="F10" s="5"/>
      <c r="G10" s="5"/>
      <c r="H10" s="5"/>
      <c r="I10" s="5"/>
      <c r="J10" s="13"/>
      <c r="K10" s="5"/>
    </row>
    <row r="11" spans="1:16" ht="11.25" customHeight="1" x14ac:dyDescent="0.25">
      <c r="A11" s="4"/>
      <c r="B11" s="8" t="s">
        <v>24</v>
      </c>
      <c r="C11" s="12">
        <f t="shared" ref="C11:K11" si="1">SUM(C12:C25)</f>
        <v>58</v>
      </c>
      <c r="D11" s="12">
        <f t="shared" si="1"/>
        <v>2</v>
      </c>
      <c r="E11" s="12">
        <f t="shared" si="1"/>
        <v>20</v>
      </c>
      <c r="F11" s="12">
        <f t="shared" si="1"/>
        <v>36</v>
      </c>
      <c r="G11" s="12"/>
      <c r="H11" s="12">
        <f>SUM(H12:H25)</f>
        <v>6</v>
      </c>
      <c r="I11" s="12">
        <f t="shared" si="1"/>
        <v>2</v>
      </c>
      <c r="J11" s="12">
        <f t="shared" si="1"/>
        <v>3</v>
      </c>
      <c r="K11" s="12">
        <f t="shared" si="1"/>
        <v>1</v>
      </c>
    </row>
    <row r="12" spans="1:16" ht="11.25" customHeight="1" x14ac:dyDescent="0.25">
      <c r="A12" s="4"/>
      <c r="B12" s="27" t="s">
        <v>12</v>
      </c>
      <c r="C12" s="5">
        <f t="shared" ref="C12:C25" si="2">SUM(D12:F12)</f>
        <v>9</v>
      </c>
      <c r="D12" s="5">
        <v>2</v>
      </c>
      <c r="E12" s="5">
        <v>3</v>
      </c>
      <c r="F12" s="5">
        <v>4</v>
      </c>
      <c r="G12" s="5"/>
      <c r="H12" s="5">
        <f>SUM(I12:K12)</f>
        <v>2</v>
      </c>
      <c r="I12" s="5">
        <v>2</v>
      </c>
      <c r="J12" s="13" t="s">
        <v>0</v>
      </c>
      <c r="K12" s="13" t="s">
        <v>0</v>
      </c>
    </row>
    <row r="13" spans="1:16" ht="11.25" customHeight="1" x14ac:dyDescent="0.25">
      <c r="A13" s="4"/>
      <c r="B13" s="27" t="s">
        <v>25</v>
      </c>
      <c r="C13" s="5">
        <f t="shared" si="2"/>
        <v>3</v>
      </c>
      <c r="D13" s="13" t="s">
        <v>0</v>
      </c>
      <c r="E13" s="5">
        <v>1</v>
      </c>
      <c r="F13" s="5">
        <v>2</v>
      </c>
      <c r="G13" s="5"/>
      <c r="H13" s="5">
        <f>SUM(I13:K13)</f>
        <v>1</v>
      </c>
      <c r="I13" s="13" t="s">
        <v>0</v>
      </c>
      <c r="J13" s="13">
        <v>1</v>
      </c>
      <c r="K13" s="13" t="s">
        <v>0</v>
      </c>
    </row>
    <row r="14" spans="1:16" ht="11.25" customHeight="1" x14ac:dyDescent="0.25">
      <c r="A14" s="4"/>
      <c r="B14" s="27" t="s">
        <v>26</v>
      </c>
      <c r="C14" s="5">
        <f t="shared" si="2"/>
        <v>5</v>
      </c>
      <c r="D14" s="13" t="s">
        <v>0</v>
      </c>
      <c r="E14" s="5">
        <v>1</v>
      </c>
      <c r="F14" s="5">
        <v>4</v>
      </c>
      <c r="G14" s="5"/>
      <c r="H14" s="13" t="s">
        <v>0</v>
      </c>
      <c r="I14" s="13" t="s">
        <v>0</v>
      </c>
      <c r="J14" s="13" t="s">
        <v>0</v>
      </c>
      <c r="K14" s="13" t="s">
        <v>0</v>
      </c>
    </row>
    <row r="15" spans="1:16" ht="11.25" customHeight="1" x14ac:dyDescent="0.25">
      <c r="A15" s="4"/>
      <c r="B15" s="27" t="s">
        <v>27</v>
      </c>
      <c r="C15" s="5">
        <f t="shared" si="2"/>
        <v>4</v>
      </c>
      <c r="D15" s="13" t="s">
        <v>0</v>
      </c>
      <c r="E15" s="5">
        <v>1</v>
      </c>
      <c r="F15" s="5">
        <v>3</v>
      </c>
      <c r="G15" s="5"/>
      <c r="H15" s="13" t="s">
        <v>0</v>
      </c>
      <c r="I15" s="13" t="s">
        <v>0</v>
      </c>
      <c r="J15" s="13" t="s">
        <v>0</v>
      </c>
      <c r="K15" s="13" t="s">
        <v>0</v>
      </c>
    </row>
    <row r="16" spans="1:16" ht="11.25" customHeight="1" x14ac:dyDescent="0.25">
      <c r="A16" s="4"/>
      <c r="B16" s="27" t="s">
        <v>28</v>
      </c>
      <c r="C16" s="5">
        <f t="shared" si="2"/>
        <v>2</v>
      </c>
      <c r="D16" s="13" t="s">
        <v>0</v>
      </c>
      <c r="E16" s="5">
        <v>1</v>
      </c>
      <c r="F16" s="5">
        <v>1</v>
      </c>
      <c r="G16" s="5"/>
      <c r="H16" s="13" t="s">
        <v>0</v>
      </c>
      <c r="I16" s="13" t="s">
        <v>0</v>
      </c>
      <c r="J16" s="13" t="s">
        <v>0</v>
      </c>
      <c r="K16" s="13" t="s">
        <v>0</v>
      </c>
    </row>
    <row r="17" spans="1:11" ht="11.25" customHeight="1" x14ac:dyDescent="0.25">
      <c r="A17" s="4"/>
      <c r="B17" s="27" t="s">
        <v>29</v>
      </c>
      <c r="C17" s="5">
        <f t="shared" si="2"/>
        <v>3</v>
      </c>
      <c r="D17" s="13" t="s">
        <v>0</v>
      </c>
      <c r="E17" s="5">
        <v>2</v>
      </c>
      <c r="F17" s="5">
        <v>1</v>
      </c>
      <c r="G17" s="5"/>
      <c r="H17" s="13" t="s">
        <v>0</v>
      </c>
      <c r="I17" s="13" t="s">
        <v>0</v>
      </c>
      <c r="J17" s="13" t="s">
        <v>0</v>
      </c>
      <c r="K17" s="13" t="s">
        <v>0</v>
      </c>
    </row>
    <row r="18" spans="1:11" ht="11.25" customHeight="1" x14ac:dyDescent="0.25">
      <c r="A18" s="4"/>
      <c r="B18" s="27" t="s">
        <v>30</v>
      </c>
      <c r="C18" s="5">
        <f t="shared" si="2"/>
        <v>4</v>
      </c>
      <c r="D18" s="13" t="s">
        <v>0</v>
      </c>
      <c r="E18" s="5">
        <v>1</v>
      </c>
      <c r="F18" s="5">
        <v>3</v>
      </c>
      <c r="G18" s="5"/>
      <c r="H18" s="13" t="s">
        <v>0</v>
      </c>
      <c r="I18" s="13" t="s">
        <v>0</v>
      </c>
      <c r="J18" s="13" t="s">
        <v>0</v>
      </c>
      <c r="K18" s="13" t="s">
        <v>0</v>
      </c>
    </row>
    <row r="19" spans="1:11" ht="11.25" customHeight="1" x14ac:dyDescent="0.25">
      <c r="A19" s="4"/>
      <c r="B19" s="27" t="s">
        <v>31</v>
      </c>
      <c r="C19" s="5">
        <f t="shared" si="2"/>
        <v>5</v>
      </c>
      <c r="D19" s="13" t="s">
        <v>0</v>
      </c>
      <c r="E19" s="5">
        <v>2</v>
      </c>
      <c r="F19" s="5">
        <v>3</v>
      </c>
      <c r="G19" s="5"/>
      <c r="H19" s="13" t="s">
        <v>0</v>
      </c>
      <c r="I19" s="13" t="s">
        <v>0</v>
      </c>
      <c r="J19" s="13" t="s">
        <v>0</v>
      </c>
      <c r="K19" s="13" t="s">
        <v>0</v>
      </c>
    </row>
    <row r="20" spans="1:11" ht="11.25" customHeight="1" x14ac:dyDescent="0.25">
      <c r="A20" s="4"/>
      <c r="B20" s="27" t="s">
        <v>32</v>
      </c>
      <c r="C20" s="5">
        <f t="shared" si="2"/>
        <v>3</v>
      </c>
      <c r="D20" s="13" t="s">
        <v>0</v>
      </c>
      <c r="E20" s="5">
        <v>1</v>
      </c>
      <c r="F20" s="5">
        <v>2</v>
      </c>
      <c r="G20" s="5"/>
      <c r="H20" s="5">
        <f>SUM(I20:K20)</f>
        <v>1</v>
      </c>
      <c r="I20" s="13" t="s">
        <v>0</v>
      </c>
      <c r="J20" s="13" t="s">
        <v>0</v>
      </c>
      <c r="K20" s="5">
        <v>1</v>
      </c>
    </row>
    <row r="21" spans="1:11" ht="11.25" customHeight="1" x14ac:dyDescent="0.25">
      <c r="A21" s="4"/>
      <c r="B21" s="27" t="s">
        <v>33</v>
      </c>
      <c r="C21" s="5">
        <f t="shared" si="2"/>
        <v>3</v>
      </c>
      <c r="D21" s="13" t="s">
        <v>0</v>
      </c>
      <c r="E21" s="5">
        <v>2</v>
      </c>
      <c r="F21" s="5">
        <v>1</v>
      </c>
      <c r="G21" s="5"/>
      <c r="H21" s="13" t="s">
        <v>0</v>
      </c>
      <c r="I21" s="13" t="s">
        <v>0</v>
      </c>
      <c r="J21" s="13" t="s">
        <v>0</v>
      </c>
      <c r="K21" s="13" t="s">
        <v>0</v>
      </c>
    </row>
    <row r="22" spans="1:11" ht="11.25" customHeight="1" x14ac:dyDescent="0.25">
      <c r="A22" s="4"/>
      <c r="B22" s="27" t="s">
        <v>34</v>
      </c>
      <c r="C22" s="5">
        <f t="shared" si="2"/>
        <v>4</v>
      </c>
      <c r="D22" s="13" t="s">
        <v>0</v>
      </c>
      <c r="E22" s="5">
        <v>1</v>
      </c>
      <c r="F22" s="5">
        <v>3</v>
      </c>
      <c r="G22" s="5"/>
      <c r="H22" s="5">
        <f>SUM(I22:K22)</f>
        <v>1</v>
      </c>
      <c r="I22" s="13" t="s">
        <v>0</v>
      </c>
      <c r="J22" s="13">
        <v>1</v>
      </c>
      <c r="K22" s="13" t="s">
        <v>0</v>
      </c>
    </row>
    <row r="23" spans="1:11" ht="11.25" customHeight="1" x14ac:dyDescent="0.25">
      <c r="A23" s="4"/>
      <c r="B23" s="27" t="s">
        <v>35</v>
      </c>
      <c r="C23" s="5">
        <f t="shared" si="2"/>
        <v>5</v>
      </c>
      <c r="D23" s="13" t="s">
        <v>0</v>
      </c>
      <c r="E23" s="5">
        <v>3</v>
      </c>
      <c r="F23" s="5">
        <v>2</v>
      </c>
      <c r="G23" s="5"/>
      <c r="H23" s="5">
        <f>SUM(I23:K23)</f>
        <v>1</v>
      </c>
      <c r="I23" s="13" t="s">
        <v>0</v>
      </c>
      <c r="J23" s="13">
        <v>1</v>
      </c>
      <c r="K23" s="13" t="s">
        <v>0</v>
      </c>
    </row>
    <row r="24" spans="1:11" ht="11.25" customHeight="1" x14ac:dyDescent="0.25">
      <c r="A24" s="4"/>
      <c r="B24" s="27" t="s">
        <v>36</v>
      </c>
      <c r="C24" s="5">
        <f t="shared" si="2"/>
        <v>4</v>
      </c>
      <c r="D24" s="13" t="s">
        <v>0</v>
      </c>
      <c r="E24" s="5">
        <v>1</v>
      </c>
      <c r="F24" s="5">
        <v>3</v>
      </c>
      <c r="G24" s="5"/>
      <c r="H24" s="13" t="s">
        <v>0</v>
      </c>
      <c r="I24" s="13" t="s">
        <v>0</v>
      </c>
      <c r="J24" s="13" t="s">
        <v>0</v>
      </c>
      <c r="K24" s="13" t="s">
        <v>0</v>
      </c>
    </row>
    <row r="25" spans="1:11" ht="11.25" customHeight="1" x14ac:dyDescent="0.25">
      <c r="A25" s="4"/>
      <c r="B25" s="27" t="s">
        <v>37</v>
      </c>
      <c r="C25" s="5">
        <f t="shared" si="2"/>
        <v>4</v>
      </c>
      <c r="D25" s="13" t="s">
        <v>0</v>
      </c>
      <c r="E25" s="13" t="s">
        <v>0</v>
      </c>
      <c r="F25" s="5">
        <v>4</v>
      </c>
      <c r="G25" s="5"/>
      <c r="H25" s="13" t="s">
        <v>0</v>
      </c>
      <c r="I25" s="13" t="s">
        <v>0</v>
      </c>
      <c r="J25" s="13" t="s">
        <v>0</v>
      </c>
      <c r="K25" s="13" t="s">
        <v>0</v>
      </c>
    </row>
    <row r="26" spans="1:11" ht="11.25" customHeight="1" x14ac:dyDescent="0.25">
      <c r="A26" s="4"/>
      <c r="B26" s="28" t="s">
        <v>38</v>
      </c>
      <c r="C26" s="12">
        <f t="shared" ref="C26:K26" si="3">SUM(C27:C37)</f>
        <v>31</v>
      </c>
      <c r="D26" s="12">
        <f t="shared" si="3"/>
        <v>1</v>
      </c>
      <c r="E26" s="12">
        <f t="shared" si="3"/>
        <v>8</v>
      </c>
      <c r="F26" s="12">
        <f t="shared" si="3"/>
        <v>22</v>
      </c>
      <c r="G26" s="12"/>
      <c r="H26" s="12">
        <f t="shared" si="3"/>
        <v>3</v>
      </c>
      <c r="I26" s="12">
        <f t="shared" si="3"/>
        <v>1</v>
      </c>
      <c r="J26" s="12">
        <f t="shared" si="3"/>
        <v>1</v>
      </c>
      <c r="K26" s="12">
        <f t="shared" si="3"/>
        <v>1</v>
      </c>
    </row>
    <row r="27" spans="1:11" ht="11.25" customHeight="1" x14ac:dyDescent="0.25">
      <c r="A27" s="4"/>
      <c r="B27" s="27" t="s">
        <v>39</v>
      </c>
      <c r="C27" s="5">
        <f t="shared" ref="C27:C37" si="4">SUM(D27:F27)</f>
        <v>4</v>
      </c>
      <c r="D27" s="5">
        <v>1</v>
      </c>
      <c r="E27" s="13" t="s">
        <v>0</v>
      </c>
      <c r="F27" s="5">
        <v>3</v>
      </c>
      <c r="G27" s="5"/>
      <c r="H27" s="5">
        <f>SUM(I27:K27)</f>
        <v>1</v>
      </c>
      <c r="I27" s="5">
        <v>1</v>
      </c>
      <c r="J27" s="13" t="s">
        <v>0</v>
      </c>
      <c r="K27" s="13" t="s">
        <v>0</v>
      </c>
    </row>
    <row r="28" spans="1:11" ht="11.25" customHeight="1" x14ac:dyDescent="0.25">
      <c r="A28" s="4"/>
      <c r="B28" s="27" t="s">
        <v>40</v>
      </c>
      <c r="C28" s="5">
        <f t="shared" si="4"/>
        <v>3</v>
      </c>
      <c r="D28" s="13" t="s">
        <v>0</v>
      </c>
      <c r="E28" s="5">
        <v>1</v>
      </c>
      <c r="F28" s="5">
        <v>2</v>
      </c>
      <c r="G28" s="5"/>
      <c r="H28" s="13" t="s">
        <v>0</v>
      </c>
      <c r="I28" s="13" t="s">
        <v>0</v>
      </c>
      <c r="J28" s="13" t="s">
        <v>0</v>
      </c>
      <c r="K28" s="13" t="s">
        <v>0</v>
      </c>
    </row>
    <row r="29" spans="1:11" ht="11.25" customHeight="1" x14ac:dyDescent="0.25">
      <c r="A29" s="4"/>
      <c r="B29" s="27" t="s">
        <v>41</v>
      </c>
      <c r="C29" s="5">
        <f t="shared" si="4"/>
        <v>1</v>
      </c>
      <c r="D29" s="13" t="s">
        <v>0</v>
      </c>
      <c r="E29" s="13" t="s">
        <v>0</v>
      </c>
      <c r="F29" s="5">
        <v>1</v>
      </c>
      <c r="G29" s="5"/>
      <c r="H29" s="13" t="s">
        <v>0</v>
      </c>
      <c r="I29" s="13" t="s">
        <v>0</v>
      </c>
      <c r="J29" s="13" t="s">
        <v>0</v>
      </c>
      <c r="K29" s="13" t="s">
        <v>0</v>
      </c>
    </row>
    <row r="30" spans="1:11" ht="11.25" customHeight="1" x14ac:dyDescent="0.25">
      <c r="A30" s="4"/>
      <c r="B30" s="27" t="s">
        <v>42</v>
      </c>
      <c r="C30" s="5">
        <f t="shared" si="4"/>
        <v>3</v>
      </c>
      <c r="D30" s="13" t="s">
        <v>0</v>
      </c>
      <c r="E30" s="5">
        <v>1</v>
      </c>
      <c r="F30" s="5">
        <v>2</v>
      </c>
      <c r="G30" s="5"/>
      <c r="H30" s="13" t="s">
        <v>0</v>
      </c>
      <c r="I30" s="13" t="s">
        <v>0</v>
      </c>
      <c r="J30" s="13" t="s">
        <v>0</v>
      </c>
      <c r="K30" s="13" t="s">
        <v>0</v>
      </c>
    </row>
    <row r="31" spans="1:11" ht="11.25" customHeight="1" x14ac:dyDescent="0.25">
      <c r="A31" s="4"/>
      <c r="B31" s="27" t="s">
        <v>43</v>
      </c>
      <c r="C31" s="5">
        <f t="shared" si="4"/>
        <v>4</v>
      </c>
      <c r="D31" s="13" t="s">
        <v>0</v>
      </c>
      <c r="E31" s="13" t="s">
        <v>0</v>
      </c>
      <c r="F31" s="5">
        <v>4</v>
      </c>
      <c r="G31" s="5"/>
      <c r="H31" s="13" t="s">
        <v>0</v>
      </c>
      <c r="I31" s="13" t="s">
        <v>0</v>
      </c>
      <c r="J31" s="13" t="s">
        <v>0</v>
      </c>
      <c r="K31" s="13" t="s">
        <v>0</v>
      </c>
    </row>
    <row r="32" spans="1:11" ht="11.25" customHeight="1" x14ac:dyDescent="0.25">
      <c r="A32" s="4"/>
      <c r="B32" s="27" t="s">
        <v>44</v>
      </c>
      <c r="C32" s="5">
        <f t="shared" si="4"/>
        <v>3</v>
      </c>
      <c r="D32" s="13" t="s">
        <v>0</v>
      </c>
      <c r="E32" s="5">
        <v>1</v>
      </c>
      <c r="F32" s="5">
        <v>2</v>
      </c>
      <c r="G32" s="5"/>
      <c r="H32" s="13" t="s">
        <v>0</v>
      </c>
      <c r="I32" s="13" t="s">
        <v>0</v>
      </c>
      <c r="J32" s="13" t="s">
        <v>0</v>
      </c>
      <c r="K32" s="13" t="s">
        <v>0</v>
      </c>
    </row>
    <row r="33" spans="1:11" ht="11.25" customHeight="1" x14ac:dyDescent="0.25">
      <c r="A33" s="4"/>
      <c r="B33" s="27" t="s">
        <v>30</v>
      </c>
      <c r="C33" s="5">
        <f t="shared" si="4"/>
        <v>4</v>
      </c>
      <c r="D33" s="13" t="s">
        <v>0</v>
      </c>
      <c r="E33" s="5">
        <v>2</v>
      </c>
      <c r="F33" s="5">
        <v>2</v>
      </c>
      <c r="G33" s="5"/>
      <c r="H33" s="5">
        <f>SUM(I33:K33)</f>
        <v>1</v>
      </c>
      <c r="I33" s="13" t="s">
        <v>0</v>
      </c>
      <c r="J33" s="13">
        <v>1</v>
      </c>
      <c r="K33" s="13" t="s">
        <v>0</v>
      </c>
    </row>
    <row r="34" spans="1:11" ht="11.25" customHeight="1" x14ac:dyDescent="0.25">
      <c r="A34" s="4"/>
      <c r="B34" s="27" t="s">
        <v>45</v>
      </c>
      <c r="C34" s="5">
        <f t="shared" si="4"/>
        <v>2</v>
      </c>
      <c r="D34" s="13" t="s">
        <v>0</v>
      </c>
      <c r="E34" s="13" t="s">
        <v>0</v>
      </c>
      <c r="F34" s="5">
        <v>2</v>
      </c>
      <c r="G34" s="5"/>
      <c r="H34" s="13" t="s">
        <v>0</v>
      </c>
      <c r="I34" s="13" t="s">
        <v>0</v>
      </c>
      <c r="J34" s="13" t="s">
        <v>0</v>
      </c>
      <c r="K34" s="13" t="s">
        <v>0</v>
      </c>
    </row>
    <row r="35" spans="1:11" ht="11.25" customHeight="1" x14ac:dyDescent="0.25">
      <c r="A35" s="4"/>
      <c r="B35" s="27" t="s">
        <v>46</v>
      </c>
      <c r="C35" s="5">
        <f t="shared" si="4"/>
        <v>4</v>
      </c>
      <c r="D35" s="13" t="s">
        <v>0</v>
      </c>
      <c r="E35" s="13" t="s">
        <v>0</v>
      </c>
      <c r="F35" s="5">
        <v>4</v>
      </c>
      <c r="G35" s="5"/>
      <c r="H35" s="13" t="s">
        <v>0</v>
      </c>
      <c r="I35" s="13" t="s">
        <v>0</v>
      </c>
      <c r="J35" s="13" t="s">
        <v>0</v>
      </c>
      <c r="K35" s="13" t="s">
        <v>0</v>
      </c>
    </row>
    <row r="36" spans="1:11" ht="11.25" customHeight="1" x14ac:dyDescent="0.25">
      <c r="A36" s="4"/>
      <c r="B36" s="27" t="s">
        <v>47</v>
      </c>
      <c r="C36" s="5">
        <f t="shared" si="4"/>
        <v>2</v>
      </c>
      <c r="D36" s="13" t="s">
        <v>0</v>
      </c>
      <c r="E36" s="5">
        <v>2</v>
      </c>
      <c r="F36" s="13" t="s">
        <v>0</v>
      </c>
      <c r="G36" s="13"/>
      <c r="H36" s="13" t="s">
        <v>0</v>
      </c>
      <c r="I36" s="13" t="s">
        <v>0</v>
      </c>
      <c r="J36" s="13" t="s">
        <v>0</v>
      </c>
      <c r="K36" s="13" t="s">
        <v>0</v>
      </c>
    </row>
    <row r="37" spans="1:11" ht="11.25" customHeight="1" x14ac:dyDescent="0.25">
      <c r="A37" s="4"/>
      <c r="B37" s="27" t="s">
        <v>48</v>
      </c>
      <c r="C37" s="5">
        <f t="shared" si="4"/>
        <v>1</v>
      </c>
      <c r="D37" s="13" t="s">
        <v>0</v>
      </c>
      <c r="E37" s="5">
        <v>1</v>
      </c>
      <c r="F37" s="13" t="s">
        <v>0</v>
      </c>
      <c r="G37" s="13"/>
      <c r="H37" s="5">
        <f>SUM(I37:K37)</f>
        <v>1</v>
      </c>
      <c r="I37" s="13" t="s">
        <v>0</v>
      </c>
      <c r="J37" s="13" t="s">
        <v>0</v>
      </c>
      <c r="K37" s="5">
        <v>1</v>
      </c>
    </row>
    <row r="38" spans="1:11" ht="11.25" customHeight="1" x14ac:dyDescent="0.25">
      <c r="A38" s="4"/>
      <c r="B38" s="28" t="s">
        <v>49</v>
      </c>
      <c r="C38" s="12">
        <f t="shared" ref="C38:F38" si="5">SUM(C39:C43)</f>
        <v>18</v>
      </c>
      <c r="D38" s="12">
        <f t="shared" si="5"/>
        <v>1</v>
      </c>
      <c r="E38" s="12">
        <f t="shared" si="5"/>
        <v>12</v>
      </c>
      <c r="F38" s="12">
        <f t="shared" si="5"/>
        <v>5</v>
      </c>
      <c r="G38" s="12"/>
      <c r="H38" s="12">
        <f>SUM(I38:K38)</f>
        <v>2</v>
      </c>
      <c r="I38" s="12">
        <f>SUM(I39:I43)</f>
        <v>1</v>
      </c>
      <c r="J38" s="12">
        <f>SUM(J39:J43)</f>
        <v>1</v>
      </c>
      <c r="K38" s="29" t="s">
        <v>0</v>
      </c>
    </row>
    <row r="39" spans="1:11" ht="11.25" customHeight="1" x14ac:dyDescent="0.25">
      <c r="A39" s="4"/>
      <c r="B39" s="27" t="s">
        <v>50</v>
      </c>
      <c r="C39" s="5">
        <f>SUM(D39:F39)</f>
        <v>4</v>
      </c>
      <c r="D39" s="5">
        <v>1</v>
      </c>
      <c r="E39" s="13">
        <v>3</v>
      </c>
      <c r="F39" s="13" t="s">
        <v>0</v>
      </c>
      <c r="G39" s="5"/>
      <c r="H39" s="5">
        <f>SUM(I39:K39)</f>
        <v>1</v>
      </c>
      <c r="I39" s="13" t="s">
        <v>0</v>
      </c>
      <c r="J39" s="13">
        <v>1</v>
      </c>
      <c r="K39" s="13" t="s">
        <v>0</v>
      </c>
    </row>
    <row r="40" spans="1:11" ht="11.25" customHeight="1" x14ac:dyDescent="0.25">
      <c r="A40" s="4"/>
      <c r="B40" s="27" t="s">
        <v>51</v>
      </c>
      <c r="C40" s="5">
        <f>SUM(D40:F40)</f>
        <v>4</v>
      </c>
      <c r="D40" s="13" t="s">
        <v>0</v>
      </c>
      <c r="E40" s="5">
        <v>3</v>
      </c>
      <c r="F40" s="5">
        <v>1</v>
      </c>
      <c r="G40" s="5"/>
      <c r="H40" s="13" t="s">
        <v>0</v>
      </c>
      <c r="I40" s="13" t="s">
        <v>0</v>
      </c>
      <c r="J40" s="13" t="s">
        <v>0</v>
      </c>
      <c r="K40" s="13" t="s">
        <v>0</v>
      </c>
    </row>
    <row r="41" spans="1:11" ht="11.25" customHeight="1" x14ac:dyDescent="0.25">
      <c r="A41" s="4"/>
      <c r="B41" s="27" t="s">
        <v>52</v>
      </c>
      <c r="C41" s="5">
        <f>SUM(D41:F41)</f>
        <v>3</v>
      </c>
      <c r="D41" s="13" t="s">
        <v>0</v>
      </c>
      <c r="E41" s="5">
        <v>2</v>
      </c>
      <c r="F41" s="5">
        <v>1</v>
      </c>
      <c r="G41" s="5"/>
      <c r="H41" s="13" t="s">
        <v>0</v>
      </c>
      <c r="I41" s="13" t="s">
        <v>0</v>
      </c>
      <c r="J41" s="13" t="s">
        <v>0</v>
      </c>
      <c r="K41" s="13" t="s">
        <v>0</v>
      </c>
    </row>
    <row r="42" spans="1:11" ht="11.25" customHeight="1" x14ac:dyDescent="0.25">
      <c r="A42" s="4"/>
      <c r="B42" s="27" t="s">
        <v>53</v>
      </c>
      <c r="C42" s="5">
        <f>SUM(D42:F42)</f>
        <v>2</v>
      </c>
      <c r="D42" s="13" t="s">
        <v>0</v>
      </c>
      <c r="E42" s="5">
        <v>1</v>
      </c>
      <c r="F42" s="5">
        <v>1</v>
      </c>
      <c r="G42" s="5"/>
      <c r="H42" s="5">
        <f>SUM(I42:K42)</f>
        <v>1</v>
      </c>
      <c r="I42" s="13">
        <v>1</v>
      </c>
      <c r="J42" s="13" t="s">
        <v>0</v>
      </c>
      <c r="K42" s="13" t="s">
        <v>0</v>
      </c>
    </row>
    <row r="43" spans="1:11" ht="11.25" customHeight="1" x14ac:dyDescent="0.25">
      <c r="A43" s="4"/>
      <c r="B43" s="27" t="s">
        <v>54</v>
      </c>
      <c r="C43" s="5">
        <f>SUM(D43:F43)</f>
        <v>5</v>
      </c>
      <c r="D43" s="13" t="s">
        <v>0</v>
      </c>
      <c r="E43" s="5">
        <v>3</v>
      </c>
      <c r="F43" s="5">
        <v>2</v>
      </c>
      <c r="G43" s="5"/>
      <c r="H43" s="13" t="s">
        <v>0</v>
      </c>
      <c r="I43" s="13" t="s">
        <v>0</v>
      </c>
      <c r="J43" s="13" t="s">
        <v>0</v>
      </c>
      <c r="K43" s="13" t="s">
        <v>0</v>
      </c>
    </row>
    <row r="44" spans="1:11" ht="11.25" customHeight="1" x14ac:dyDescent="0.3">
      <c r="A44" s="4"/>
      <c r="B44" s="28" t="s">
        <v>55</v>
      </c>
      <c r="C44" s="12">
        <f t="shared" ref="C44:F44" si="6">SUM(C45:C49)</f>
        <v>15</v>
      </c>
      <c r="D44" s="34" t="s">
        <v>0</v>
      </c>
      <c r="E44" s="12">
        <f t="shared" si="6"/>
        <v>4</v>
      </c>
      <c r="F44" s="12">
        <f t="shared" si="6"/>
        <v>11</v>
      </c>
      <c r="G44" s="12"/>
      <c r="H44" s="12">
        <f>SUM(H45:H49)</f>
        <v>1</v>
      </c>
      <c r="I44" s="29" t="s">
        <v>0</v>
      </c>
      <c r="J44" s="29" t="s">
        <v>0</v>
      </c>
      <c r="K44" s="12">
        <f>SUM(K45:K49)</f>
        <v>1</v>
      </c>
    </row>
    <row r="45" spans="1:11" ht="11.25" customHeight="1" x14ac:dyDescent="0.25">
      <c r="A45" s="4"/>
      <c r="B45" s="27" t="s">
        <v>56</v>
      </c>
      <c r="C45" s="5">
        <f>SUM(D45:F45)</f>
        <v>6</v>
      </c>
      <c r="D45" s="13" t="s">
        <v>0</v>
      </c>
      <c r="E45" s="13">
        <v>2</v>
      </c>
      <c r="F45" s="5">
        <v>4</v>
      </c>
      <c r="G45" s="5"/>
      <c r="H45" s="5">
        <f>SUM(I45:K45)</f>
        <v>1</v>
      </c>
      <c r="I45" s="13" t="s">
        <v>0</v>
      </c>
      <c r="J45" s="29" t="s">
        <v>0</v>
      </c>
      <c r="K45" s="5">
        <v>1</v>
      </c>
    </row>
    <row r="46" spans="1:11" ht="11.25" customHeight="1" x14ac:dyDescent="0.25">
      <c r="A46" s="4"/>
      <c r="B46" s="30" t="s">
        <v>57</v>
      </c>
      <c r="C46" s="5">
        <f>SUM(D46:F46)</f>
        <v>1</v>
      </c>
      <c r="D46" s="13" t="s">
        <v>0</v>
      </c>
      <c r="E46" s="13">
        <v>1</v>
      </c>
      <c r="F46" s="13" t="s">
        <v>0</v>
      </c>
      <c r="G46" s="5"/>
      <c r="H46" s="13" t="s">
        <v>0</v>
      </c>
      <c r="I46" s="13" t="s">
        <v>0</v>
      </c>
      <c r="J46" s="29" t="s">
        <v>0</v>
      </c>
      <c r="K46" s="13" t="s">
        <v>0</v>
      </c>
    </row>
    <row r="47" spans="1:11" ht="11.25" customHeight="1" x14ac:dyDescent="0.25">
      <c r="A47" s="4"/>
      <c r="B47" s="27" t="s">
        <v>58</v>
      </c>
      <c r="C47" s="5">
        <f>SUM(D47:F47)</f>
        <v>4</v>
      </c>
      <c r="D47" s="13" t="s">
        <v>0</v>
      </c>
      <c r="E47" s="5">
        <v>1</v>
      </c>
      <c r="F47" s="5">
        <v>3</v>
      </c>
      <c r="G47" s="5"/>
      <c r="H47" s="13" t="s">
        <v>0</v>
      </c>
      <c r="I47" s="13" t="s">
        <v>0</v>
      </c>
      <c r="J47" s="29" t="s">
        <v>0</v>
      </c>
      <c r="K47" s="13" t="s">
        <v>0</v>
      </c>
    </row>
    <row r="48" spans="1:11" ht="11.25" customHeight="1" x14ac:dyDescent="0.25">
      <c r="A48" s="4"/>
      <c r="B48" s="30" t="s">
        <v>59</v>
      </c>
      <c r="C48" s="5">
        <f>SUM(D48:F48)</f>
        <v>3</v>
      </c>
      <c r="D48" s="13" t="s">
        <v>0</v>
      </c>
      <c r="E48" s="13" t="s">
        <v>0</v>
      </c>
      <c r="F48" s="5">
        <v>3</v>
      </c>
      <c r="G48" s="5"/>
      <c r="H48" s="13" t="s">
        <v>0</v>
      </c>
      <c r="I48" s="13" t="s">
        <v>0</v>
      </c>
      <c r="J48" s="29" t="s">
        <v>0</v>
      </c>
      <c r="K48" s="13" t="s">
        <v>0</v>
      </c>
    </row>
    <row r="49" spans="1:11" ht="11.25" customHeight="1" x14ac:dyDescent="0.25">
      <c r="A49" s="4"/>
      <c r="B49" s="30" t="s">
        <v>60</v>
      </c>
      <c r="C49" s="5">
        <f>SUM(D49:F49)</f>
        <v>1</v>
      </c>
      <c r="D49" s="13" t="s">
        <v>0</v>
      </c>
      <c r="E49" s="13" t="s">
        <v>0</v>
      </c>
      <c r="F49" s="5">
        <v>1</v>
      </c>
      <c r="G49" s="5"/>
      <c r="H49" s="13" t="s">
        <v>0</v>
      </c>
      <c r="I49" s="13" t="s">
        <v>0</v>
      </c>
      <c r="J49" s="29" t="s">
        <v>0</v>
      </c>
      <c r="K49" s="13" t="s">
        <v>0</v>
      </c>
    </row>
    <row r="50" spans="1:11" ht="11.25" customHeight="1" x14ac:dyDescent="0.25">
      <c r="A50" s="4"/>
      <c r="B50" s="28" t="s">
        <v>61</v>
      </c>
      <c r="C50" s="12">
        <f>SUM(C51:C58)</f>
        <v>26</v>
      </c>
      <c r="D50" s="12">
        <f>SUM(D51:D58)</f>
        <v>1</v>
      </c>
      <c r="E50" s="12">
        <f t="shared" ref="E50:F50" si="7">SUM(E51:E58)</f>
        <v>6</v>
      </c>
      <c r="F50" s="12">
        <f t="shared" si="7"/>
        <v>19</v>
      </c>
      <c r="G50" s="12"/>
      <c r="H50" s="12">
        <f>SUM(H51:H58)</f>
        <v>3</v>
      </c>
      <c r="I50" s="12">
        <f>SUM(I51:I58)</f>
        <v>1</v>
      </c>
      <c r="J50" s="29" t="s">
        <v>0</v>
      </c>
      <c r="K50" s="12">
        <f>SUM(K51:K58)</f>
        <v>2</v>
      </c>
    </row>
    <row r="51" spans="1:11" ht="11.25" customHeight="1" x14ac:dyDescent="0.25">
      <c r="A51" s="4"/>
      <c r="B51" s="27" t="s">
        <v>11</v>
      </c>
      <c r="C51" s="5">
        <f>SUM(D51:F51)</f>
        <v>4</v>
      </c>
      <c r="D51" s="5">
        <v>1</v>
      </c>
      <c r="E51" s="13">
        <v>1</v>
      </c>
      <c r="F51" s="5">
        <v>2</v>
      </c>
      <c r="G51" s="5"/>
      <c r="H51" s="5">
        <f>SUM(I51:K51)</f>
        <v>1</v>
      </c>
      <c r="I51" s="5">
        <v>1</v>
      </c>
      <c r="J51" s="29" t="s">
        <v>0</v>
      </c>
      <c r="K51" s="13" t="s">
        <v>0</v>
      </c>
    </row>
    <row r="52" spans="1:11" ht="11.25" customHeight="1" x14ac:dyDescent="0.25">
      <c r="A52" s="4"/>
      <c r="B52" s="30" t="s">
        <v>62</v>
      </c>
      <c r="C52" s="5">
        <f>SUM(D52:F52)</f>
        <v>2</v>
      </c>
      <c r="D52" s="13" t="s">
        <v>0</v>
      </c>
      <c r="E52" s="13" t="s">
        <v>0</v>
      </c>
      <c r="F52" s="5">
        <v>2</v>
      </c>
      <c r="G52" s="5"/>
      <c r="H52" s="13" t="s">
        <v>0</v>
      </c>
      <c r="I52" s="13" t="s">
        <v>0</v>
      </c>
      <c r="J52" s="29" t="s">
        <v>0</v>
      </c>
      <c r="K52" s="13" t="s">
        <v>0</v>
      </c>
    </row>
    <row r="53" spans="1:11" ht="11.25" customHeight="1" x14ac:dyDescent="0.25">
      <c r="A53" s="4"/>
      <c r="B53" s="30" t="s">
        <v>63</v>
      </c>
      <c r="C53" s="5">
        <f t="shared" ref="C53:C58" si="8">SUM(D53:F53)</f>
        <v>4</v>
      </c>
      <c r="D53" s="13" t="s">
        <v>0</v>
      </c>
      <c r="E53" s="5">
        <v>1</v>
      </c>
      <c r="F53" s="5">
        <v>3</v>
      </c>
      <c r="G53" s="5"/>
      <c r="H53" s="13" t="s">
        <v>0</v>
      </c>
      <c r="I53" s="13" t="s">
        <v>0</v>
      </c>
      <c r="J53" s="29" t="s">
        <v>0</v>
      </c>
      <c r="K53" s="13" t="s">
        <v>0</v>
      </c>
    </row>
    <row r="54" spans="1:11" ht="11.25" customHeight="1" x14ac:dyDescent="0.25">
      <c r="A54" s="4"/>
      <c r="B54" s="30" t="s">
        <v>64</v>
      </c>
      <c r="C54" s="5">
        <f t="shared" si="8"/>
        <v>6</v>
      </c>
      <c r="D54" s="13" t="s">
        <v>0</v>
      </c>
      <c r="E54" s="13" t="s">
        <v>0</v>
      </c>
      <c r="F54" s="5">
        <v>6</v>
      </c>
      <c r="G54" s="5"/>
      <c r="H54" s="13" t="s">
        <v>0</v>
      </c>
      <c r="I54" s="13" t="s">
        <v>0</v>
      </c>
      <c r="J54" s="29" t="s">
        <v>0</v>
      </c>
      <c r="K54" s="13" t="s">
        <v>0</v>
      </c>
    </row>
    <row r="55" spans="1:11" ht="11.25" customHeight="1" x14ac:dyDescent="0.25">
      <c r="A55" s="4"/>
      <c r="B55" s="30" t="s">
        <v>65</v>
      </c>
      <c r="C55" s="5">
        <f t="shared" si="8"/>
        <v>3</v>
      </c>
      <c r="D55" s="13" t="s">
        <v>0</v>
      </c>
      <c r="E55" s="13" t="s">
        <v>0</v>
      </c>
      <c r="F55" s="5">
        <v>3</v>
      </c>
      <c r="G55" s="5"/>
      <c r="H55" s="13" t="s">
        <v>0</v>
      </c>
      <c r="I55" s="13" t="s">
        <v>0</v>
      </c>
      <c r="J55" s="29" t="s">
        <v>0</v>
      </c>
      <c r="K55" s="13" t="s">
        <v>0</v>
      </c>
    </row>
    <row r="56" spans="1:11" ht="11.25" customHeight="1" x14ac:dyDescent="0.25">
      <c r="A56" s="4"/>
      <c r="B56" s="30" t="s">
        <v>66</v>
      </c>
      <c r="C56" s="5">
        <f t="shared" si="8"/>
        <v>2</v>
      </c>
      <c r="D56" s="13" t="s">
        <v>0</v>
      </c>
      <c r="E56" s="13" t="s">
        <v>0</v>
      </c>
      <c r="F56" s="13">
        <v>2</v>
      </c>
      <c r="G56" s="13"/>
      <c r="H56" s="13" t="s">
        <v>0</v>
      </c>
      <c r="I56" s="13" t="s">
        <v>0</v>
      </c>
      <c r="J56" s="29" t="s">
        <v>0</v>
      </c>
      <c r="K56" s="13" t="s">
        <v>0</v>
      </c>
    </row>
    <row r="57" spans="1:11" ht="11.25" customHeight="1" x14ac:dyDescent="0.25">
      <c r="A57" s="4"/>
      <c r="B57" s="27" t="s">
        <v>67</v>
      </c>
      <c r="C57" s="5">
        <f t="shared" si="8"/>
        <v>2</v>
      </c>
      <c r="D57" s="13" t="s">
        <v>0</v>
      </c>
      <c r="E57" s="5">
        <v>1</v>
      </c>
      <c r="F57" s="13">
        <v>1</v>
      </c>
      <c r="G57" s="13"/>
      <c r="H57" s="5">
        <f>SUM(I57:K57)</f>
        <v>1</v>
      </c>
      <c r="I57" s="13" t="s">
        <v>0</v>
      </c>
      <c r="J57" s="29" t="s">
        <v>0</v>
      </c>
      <c r="K57" s="5">
        <v>1</v>
      </c>
    </row>
    <row r="58" spans="1:11" ht="11.25" customHeight="1" x14ac:dyDescent="0.25">
      <c r="A58" s="4"/>
      <c r="B58" s="27" t="s">
        <v>68</v>
      </c>
      <c r="C58" s="5">
        <f t="shared" si="8"/>
        <v>3</v>
      </c>
      <c r="D58" s="13" t="s">
        <v>0</v>
      </c>
      <c r="E58" s="5">
        <v>3</v>
      </c>
      <c r="F58" s="13" t="s">
        <v>0</v>
      </c>
      <c r="G58" s="5"/>
      <c r="H58" s="5">
        <f>SUM(I58:K58)</f>
        <v>1</v>
      </c>
      <c r="I58" s="13" t="s">
        <v>0</v>
      </c>
      <c r="J58" s="29" t="s">
        <v>0</v>
      </c>
      <c r="K58" s="5">
        <v>1</v>
      </c>
    </row>
    <row r="59" spans="1:11" ht="12" customHeight="1" x14ac:dyDescent="0.25">
      <c r="A59" s="4"/>
      <c r="B59" s="28" t="s">
        <v>69</v>
      </c>
      <c r="C59" s="13" t="s">
        <v>0</v>
      </c>
      <c r="D59" s="13" t="s">
        <v>0</v>
      </c>
      <c r="E59" s="13" t="s">
        <v>0</v>
      </c>
      <c r="F59" s="13" t="s">
        <v>0</v>
      </c>
      <c r="G59" s="5"/>
      <c r="H59" s="12">
        <f>SUM(I59:K59)</f>
        <v>2</v>
      </c>
      <c r="I59" s="13" t="s">
        <v>0</v>
      </c>
      <c r="J59" s="29">
        <v>1</v>
      </c>
      <c r="K59" s="12">
        <v>1</v>
      </c>
    </row>
    <row r="60" spans="1:11" ht="2.25" customHeight="1" x14ac:dyDescent="0.25">
      <c r="A60" s="4"/>
      <c r="B60" s="31"/>
      <c r="C60" s="32"/>
      <c r="D60" s="32"/>
      <c r="E60" s="32"/>
      <c r="F60" s="32"/>
      <c r="G60" s="32"/>
      <c r="H60" s="32"/>
      <c r="I60" s="32"/>
      <c r="J60" s="32"/>
      <c r="K60" s="32"/>
    </row>
    <row r="61" spans="1:11" ht="10.5" customHeight="1" x14ac:dyDescent="0.25">
      <c r="A61" s="4"/>
      <c r="B61" s="2" t="s">
        <v>70</v>
      </c>
      <c r="C61" s="1"/>
      <c r="D61" s="1"/>
      <c r="E61" s="1"/>
      <c r="F61" s="1"/>
      <c r="G61" s="1"/>
      <c r="H61" s="1"/>
      <c r="I61" s="1"/>
      <c r="J61" s="1"/>
      <c r="K61" s="1"/>
    </row>
    <row r="62" spans="1:11" ht="9.75" customHeight="1" x14ac:dyDescent="0.25">
      <c r="A62" s="4"/>
      <c r="B62" s="2" t="s">
        <v>13</v>
      </c>
      <c r="C62" s="1"/>
      <c r="D62" s="1"/>
      <c r="E62" s="1"/>
      <c r="F62" s="1"/>
      <c r="G62" s="1"/>
      <c r="H62" s="1"/>
      <c r="I62" s="1"/>
      <c r="J62" s="1"/>
      <c r="K62" s="1"/>
    </row>
    <row r="65" spans="1:20" ht="9" customHeight="1" x14ac:dyDescent="0.2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16"/>
      <c r="P65" s="17"/>
      <c r="Q65" s="17"/>
      <c r="R65" s="17"/>
      <c r="S65" s="3"/>
      <c r="T65" s="3"/>
    </row>
    <row r="66" spans="1:20" ht="12" customHeight="1" x14ac:dyDescent="0.2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17"/>
      <c r="P66" s="17"/>
      <c r="Q66" s="18"/>
      <c r="R66" s="17"/>
      <c r="S66" s="17"/>
      <c r="T66" s="17"/>
    </row>
    <row r="67" spans="1:20" ht="12" customHeight="1" x14ac:dyDescent="0.2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17"/>
      <c r="P67" s="10"/>
      <c r="Q67" s="10"/>
      <c r="R67" s="10"/>
      <c r="S67" s="10"/>
      <c r="T67" s="10"/>
    </row>
    <row r="68" spans="1:20" ht="3" customHeight="1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17"/>
      <c r="P68" s="10" t="s">
        <v>2</v>
      </c>
      <c r="Q68" s="11">
        <v>3.9</v>
      </c>
      <c r="R68" s="14">
        <f>S68/S74*100</f>
        <v>3.9215686274509802</v>
      </c>
      <c r="S68" s="10">
        <v>10</v>
      </c>
      <c r="T68" s="10"/>
    </row>
    <row r="69" spans="1:20" ht="12" customHeight="1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17"/>
      <c r="P69" s="10" t="s">
        <v>3</v>
      </c>
      <c r="Q69" s="11">
        <v>19.600000000000001</v>
      </c>
      <c r="R69" s="14">
        <f>S69/S74*100</f>
        <v>19.607843137254903</v>
      </c>
      <c r="S69" s="10">
        <v>50</v>
      </c>
      <c r="T69" s="10"/>
    </row>
    <row r="70" spans="1:20" ht="12" customHeight="1" x14ac:dyDescent="0.2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17"/>
      <c r="P70" s="10" t="s">
        <v>5</v>
      </c>
      <c r="Q70" s="11">
        <v>36.5</v>
      </c>
      <c r="R70" s="14">
        <f>S70/S74*100</f>
        <v>36.470588235294116</v>
      </c>
      <c r="S70" s="10">
        <v>93</v>
      </c>
      <c r="T70" s="10"/>
    </row>
    <row r="71" spans="1:20" ht="12" customHeight="1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17"/>
      <c r="P71" s="10" t="s">
        <v>8</v>
      </c>
      <c r="Q71" s="11">
        <v>2</v>
      </c>
      <c r="R71" s="14">
        <f>S71/S74*100</f>
        <v>1.9607843137254901</v>
      </c>
      <c r="S71" s="10">
        <v>5</v>
      </c>
      <c r="T71" s="10"/>
    </row>
    <row r="72" spans="1:20" ht="3" customHeight="1" x14ac:dyDescent="0.2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17"/>
      <c r="P72" s="10" t="s">
        <v>4</v>
      </c>
      <c r="Q72" s="11">
        <v>2</v>
      </c>
      <c r="R72" s="14">
        <f>S72/S74*100</f>
        <v>1.9607843137254901</v>
      </c>
      <c r="S72" s="10">
        <v>5</v>
      </c>
      <c r="T72" s="10"/>
    </row>
    <row r="73" spans="1:20" ht="11.25" customHeight="1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17"/>
      <c r="P73" s="10" t="s">
        <v>6</v>
      </c>
      <c r="Q73" s="11">
        <v>36</v>
      </c>
      <c r="R73" s="14">
        <f>S73/S74*100</f>
        <v>36.078431372549019</v>
      </c>
      <c r="S73" s="10">
        <v>92</v>
      </c>
      <c r="T73" s="10" t="s">
        <v>7</v>
      </c>
    </row>
    <row r="74" spans="1:20" ht="1.5" customHeight="1" x14ac:dyDescent="0.2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17"/>
      <c r="P74" s="10"/>
      <c r="Q74" s="10">
        <f>SUM(Q68:Q73)</f>
        <v>100</v>
      </c>
      <c r="R74" s="14">
        <f>SUM(R68:R73)</f>
        <v>100</v>
      </c>
      <c r="S74" s="10">
        <f>SUM(S68:S73)</f>
        <v>255</v>
      </c>
      <c r="T74" s="10"/>
    </row>
    <row r="75" spans="1:20" ht="11.25" customHeight="1" x14ac:dyDescent="0.2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17"/>
      <c r="P75" s="10"/>
      <c r="Q75" s="10"/>
      <c r="R75" s="10"/>
      <c r="S75" s="10"/>
      <c r="T75" s="10"/>
    </row>
    <row r="76" spans="1:20" ht="11.25" customHeight="1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17"/>
      <c r="P76" s="10"/>
      <c r="Q76" s="10"/>
      <c r="R76" s="10"/>
      <c r="S76" s="10"/>
      <c r="T76" s="10"/>
    </row>
    <row r="77" spans="1:20" ht="11.25" customHeight="1" x14ac:dyDescent="0.2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17"/>
      <c r="P77" s="17"/>
      <c r="Q77" s="17"/>
      <c r="R77" s="17"/>
      <c r="S77" s="10"/>
      <c r="T77" s="10"/>
    </row>
    <row r="78" spans="1:20" ht="11.25" customHeight="1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17"/>
      <c r="P78" s="17"/>
      <c r="Q78" s="17"/>
      <c r="R78" s="17"/>
      <c r="S78" s="3"/>
      <c r="T78" s="3"/>
    </row>
    <row r="79" spans="1:20" ht="11.25" customHeight="1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3"/>
      <c r="P79" s="3"/>
      <c r="Q79" s="3"/>
      <c r="R79" s="3"/>
      <c r="S79" s="3"/>
      <c r="T79" s="3"/>
    </row>
    <row r="80" spans="1:20" ht="11.25" customHeight="1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3"/>
      <c r="P80" s="3"/>
      <c r="Q80" s="3"/>
      <c r="R80" s="3"/>
      <c r="S80" s="3"/>
      <c r="T80" s="3"/>
    </row>
    <row r="81" spans="1:20" ht="11.25" customHeight="1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3"/>
      <c r="P81" s="3"/>
      <c r="Q81" s="3"/>
      <c r="R81" s="3"/>
      <c r="S81" s="3"/>
      <c r="T81" s="3"/>
    </row>
    <row r="82" spans="1:20" ht="11.25" customHeight="1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3"/>
      <c r="P82" s="3"/>
      <c r="Q82" s="3"/>
      <c r="R82" s="3"/>
      <c r="S82" s="3"/>
      <c r="T82" s="3"/>
    </row>
    <row r="83" spans="1:20" ht="11.25" customHeight="1" x14ac:dyDescent="0.25">
      <c r="A83" s="4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4"/>
      <c r="O83" s="4"/>
      <c r="P83" s="4"/>
      <c r="Q83" s="3"/>
      <c r="R83" s="3"/>
      <c r="S83" s="3"/>
      <c r="T83" s="3"/>
    </row>
    <row r="84" spans="1:20" ht="11.25" customHeight="1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3"/>
      <c r="R84" s="3"/>
      <c r="S84" s="3"/>
      <c r="T84" s="3"/>
    </row>
    <row r="85" spans="1:20" ht="11.25" customHeight="1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3"/>
      <c r="R85" s="3"/>
      <c r="S85" s="3"/>
      <c r="T85" s="3"/>
    </row>
    <row r="86" spans="1:20" ht="11.25" customHeight="1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3"/>
      <c r="R86" s="3"/>
      <c r="S86" s="3"/>
      <c r="T86" s="3"/>
    </row>
    <row r="94" spans="1:20" ht="12.75" customHeight="1" x14ac:dyDescent="0.2">
      <c r="E94" s="33"/>
    </row>
  </sheetData>
  <mergeCells count="7">
    <mergeCell ref="I6:I7"/>
    <mergeCell ref="B5:B7"/>
    <mergeCell ref="C5:F5"/>
    <mergeCell ref="H5:K5"/>
    <mergeCell ref="C6:C7"/>
    <mergeCell ref="D6:D7"/>
    <mergeCell ref="H6:H7"/>
  </mergeCells>
  <phoneticPr fontId="0" type="noConversion"/>
  <printOptions horizontalCentered="1"/>
  <pageMargins left="0.78740157480314965" right="0.59055118110236227" top="0.78740157480314965" bottom="0" header="0" footer="0"/>
  <pageSetup paperSize="9" orientation="portrait" horizontalDpi="120" verticalDpi="144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  6,4  </vt:lpstr>
      <vt:lpstr>'  6,4  '!Área_de_impresión</vt:lpstr>
    </vt:vector>
  </TitlesOfParts>
  <Company>CIDEP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INEI</dc:creator>
  <cp:lastModifiedBy>LUIS CANO</cp:lastModifiedBy>
  <cp:lastPrinted>2014-10-02T23:48:47Z</cp:lastPrinted>
  <dcterms:created xsi:type="dcterms:W3CDTF">1999-06-23T16:11:44Z</dcterms:created>
  <dcterms:modified xsi:type="dcterms:W3CDTF">2023-01-12T16:47:13Z</dcterms:modified>
</cp:coreProperties>
</file>