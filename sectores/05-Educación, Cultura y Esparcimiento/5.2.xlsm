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CD - ICA COMPENDIO 2022\pagina\sectores\05-Educación, Cultura y Esparcimiento\"/>
    </mc:Choice>
  </mc:AlternateContent>
  <bookViews>
    <workbookView xWindow="9525" yWindow="15" windowWidth="12210" windowHeight="7290"/>
  </bookViews>
  <sheets>
    <sheet name="5,2" sheetId="1" r:id="rId1"/>
  </sheets>
  <definedNames>
    <definedName name="_xlnm.Print_Area" localSheetId="0">'5,2'!$B$46:$H$91</definedName>
  </definedNames>
  <calcPr calcId="162913"/>
</workbook>
</file>

<file path=xl/calcChain.xml><?xml version="1.0" encoding="utf-8"?>
<calcChain xmlns="http://schemas.openxmlformats.org/spreadsheetml/2006/main">
  <c r="E24" i="1" l="1"/>
  <c r="F24" i="1"/>
  <c r="Q21" i="1" l="1"/>
  <c r="S48" i="1" l="1"/>
  <c r="R48" i="1"/>
  <c r="Q48" i="1"/>
  <c r="P48" i="1"/>
  <c r="O48" i="1"/>
  <c r="M48" i="1"/>
  <c r="L48" i="1"/>
  <c r="K48" i="1"/>
  <c r="J48" i="1"/>
  <c r="I48" i="1"/>
  <c r="I34" i="1" s="1"/>
  <c r="G48" i="1"/>
  <c r="F48" i="1"/>
  <c r="E48" i="1"/>
  <c r="D48" i="1"/>
  <c r="C48" i="1"/>
  <c r="S36" i="1"/>
  <c r="S34" i="1" s="1"/>
  <c r="R36" i="1"/>
  <c r="Q36" i="1"/>
  <c r="P36" i="1"/>
  <c r="O36" i="1"/>
  <c r="M36" i="1"/>
  <c r="L36" i="1"/>
  <c r="K36" i="1"/>
  <c r="J36" i="1"/>
  <c r="J34" i="1" s="1"/>
  <c r="I36" i="1"/>
  <c r="G36" i="1"/>
  <c r="F36" i="1"/>
  <c r="E36" i="1"/>
  <c r="D36" i="1"/>
  <c r="C36" i="1"/>
  <c r="R34" i="1"/>
  <c r="G24" i="1"/>
  <c r="G23" i="1"/>
  <c r="F23" i="1"/>
  <c r="E23" i="1"/>
  <c r="D23" i="1"/>
  <c r="G22" i="1"/>
  <c r="F22" i="1"/>
  <c r="E22" i="1"/>
  <c r="D22" i="1"/>
  <c r="S21" i="1"/>
  <c r="R21" i="1"/>
  <c r="P21" i="1"/>
  <c r="O21" i="1"/>
  <c r="M21" i="1"/>
  <c r="L21" i="1"/>
  <c r="K21" i="1"/>
  <c r="J21" i="1"/>
  <c r="I21" i="1"/>
  <c r="G20" i="1"/>
  <c r="F20" i="1"/>
  <c r="E20" i="1"/>
  <c r="D20" i="1"/>
  <c r="G19" i="1"/>
  <c r="F19" i="1"/>
  <c r="E19" i="1"/>
  <c r="D19" i="1"/>
  <c r="G18" i="1"/>
  <c r="F18" i="1"/>
  <c r="E18" i="1"/>
  <c r="D18" i="1"/>
  <c r="G17" i="1"/>
  <c r="F17" i="1"/>
  <c r="E17" i="1"/>
  <c r="D17" i="1"/>
  <c r="G16" i="1"/>
  <c r="F16" i="1"/>
  <c r="E16" i="1"/>
  <c r="D16" i="1"/>
  <c r="G15" i="1"/>
  <c r="F15" i="1"/>
  <c r="E15" i="1"/>
  <c r="D15" i="1"/>
  <c r="C15" i="1"/>
  <c r="G14" i="1"/>
  <c r="F14" i="1"/>
  <c r="E14" i="1"/>
  <c r="D14" i="1"/>
  <c r="G13" i="1"/>
  <c r="F13" i="1"/>
  <c r="E13" i="1"/>
  <c r="D13" i="1"/>
  <c r="C13" i="1"/>
  <c r="G12" i="1"/>
  <c r="F12" i="1"/>
  <c r="E12" i="1"/>
  <c r="D12" i="1"/>
  <c r="C12" i="1"/>
  <c r="G11" i="1"/>
  <c r="F11" i="1"/>
  <c r="E11" i="1"/>
  <c r="D11" i="1"/>
  <c r="C11" i="1"/>
  <c r="G10" i="1"/>
  <c r="F10" i="1"/>
  <c r="E10" i="1"/>
  <c r="D10" i="1"/>
  <c r="S9" i="1"/>
  <c r="R9" i="1"/>
  <c r="Q9" i="1"/>
  <c r="P9" i="1"/>
  <c r="P7" i="1" s="1"/>
  <c r="O9" i="1"/>
  <c r="M9" i="1"/>
  <c r="M7" i="1" s="1"/>
  <c r="L9" i="1"/>
  <c r="K9" i="1"/>
  <c r="J9" i="1"/>
  <c r="I9" i="1"/>
  <c r="G8" i="1"/>
  <c r="F8" i="1"/>
  <c r="E8" i="1"/>
  <c r="D8" i="1"/>
  <c r="S7" i="1"/>
  <c r="D34" i="1" l="1"/>
  <c r="M34" i="1"/>
  <c r="G7" i="1" s="1"/>
  <c r="E34" i="1"/>
  <c r="O34" i="1"/>
  <c r="G34" i="1"/>
  <c r="Q34" i="1"/>
  <c r="K7" i="1"/>
  <c r="L7" i="1"/>
  <c r="D21" i="1"/>
  <c r="G21" i="1"/>
  <c r="F9" i="1"/>
  <c r="E9" i="1"/>
  <c r="I7" i="1"/>
  <c r="R7" i="1"/>
  <c r="K34" i="1"/>
  <c r="D9" i="1"/>
  <c r="C34" i="1"/>
  <c r="L34" i="1"/>
  <c r="F34" i="1"/>
  <c r="E21" i="1"/>
  <c r="P34" i="1"/>
  <c r="O7" i="1"/>
  <c r="F21" i="1"/>
  <c r="J7" i="1"/>
  <c r="G9" i="1"/>
  <c r="Q7" i="1"/>
  <c r="C9" i="1"/>
  <c r="F7" i="1" l="1"/>
  <c r="D7" i="1"/>
  <c r="E7" i="1"/>
  <c r="C7" i="1"/>
</calcChain>
</file>

<file path=xl/sharedStrings.xml><?xml version="1.0" encoding="utf-8"?>
<sst xmlns="http://schemas.openxmlformats.org/spreadsheetml/2006/main" count="92" uniqueCount="27">
  <si>
    <t xml:space="preserve">  </t>
  </si>
  <si>
    <t>Ica</t>
  </si>
  <si>
    <t>Chincha</t>
  </si>
  <si>
    <t>Pisco</t>
  </si>
  <si>
    <t>Nasca</t>
  </si>
  <si>
    <t>Palpa</t>
  </si>
  <si>
    <t>5.2   ICA: DOCENTES EN EL SISTEMA EDUCATIVO POR PROVINCIA, SEGÚN NIVEL Y MODALIDAD, 2017 - 2021</t>
  </si>
  <si>
    <t xml:space="preserve">Nivel  y </t>
  </si>
  <si>
    <t>Total</t>
  </si>
  <si>
    <t>Modalidad</t>
  </si>
  <si>
    <t>I   Escolarizado</t>
  </si>
  <si>
    <t>Educación Inicial</t>
  </si>
  <si>
    <t>Educación Primaria</t>
  </si>
  <si>
    <t>Educación Secundaria</t>
  </si>
  <si>
    <t>Educación Básica Alternativa</t>
  </si>
  <si>
    <t>Educación Básica Especial</t>
  </si>
  <si>
    <t>Educación Superior Pedagógico</t>
  </si>
  <si>
    <t>Educación Superior Tecnológico</t>
  </si>
  <si>
    <t>-</t>
  </si>
  <si>
    <t>Educ. Sup. Formación Artística</t>
  </si>
  <si>
    <t>Educación Técnico Productivo</t>
  </si>
  <si>
    <t>II   No Escolarizado</t>
  </si>
  <si>
    <t>PRONOEI</t>
  </si>
  <si>
    <t>Especial</t>
  </si>
  <si>
    <t xml:space="preserve">  Continúa...</t>
  </si>
  <si>
    <t>Conclusión.</t>
  </si>
  <si>
    <t>Fuente: Dirección Regional de Educación - Ica, Unidad de Estadística.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</si>
</sst>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##\ ###"/>
    <numFmt numFmtId="165" formatCode="##\ ###"/>
  </numFmts>
  <fonts count="17" x14ac:knownFonts="1">
    <font>
      <sz val="10"/>
      <name val="Arial"/>
    </font>
    <font>
      <sz val="10"/>
      <name val="Arial Narrow"/>
      <family val="2"/>
    </font>
    <font>
      <sz val="10"/>
      <color indexed="10"/>
      <name val="Arial Narrow"/>
      <family val="2"/>
    </font>
    <font>
      <b/>
      <sz val="10"/>
      <color indexed="10"/>
      <name val="Arial Narrow"/>
      <family val="2"/>
    </font>
    <font>
      <sz val="10"/>
      <color theme="0"/>
      <name val="Arial Narrow"/>
      <family val="2"/>
    </font>
    <font>
      <sz val="10"/>
      <color rgb="FFFF0000"/>
      <name val="Arial Narrow"/>
      <family val="2"/>
    </font>
    <font>
      <sz val="8"/>
      <color theme="0"/>
      <name val="Arial Narrow"/>
      <family val="2"/>
    </font>
    <font>
      <sz val="9"/>
      <color theme="0"/>
      <name val="Arial Narrow"/>
      <family val="2"/>
    </font>
    <font>
      <sz val="8"/>
      <color indexed="8"/>
      <name val="Arial Narrow"/>
      <family val="2"/>
    </font>
    <font>
      <b/>
      <sz val="9"/>
      <color indexed="8"/>
      <name val="Arial Narrow"/>
      <family val="2"/>
    </font>
    <font>
      <b/>
      <sz val="8"/>
      <color indexed="8"/>
      <name val="Arial Narrow"/>
      <family val="2"/>
    </font>
    <font>
      <sz val="8"/>
      <name val="Arial Narrow"/>
      <family val="2"/>
    </font>
    <font>
      <b/>
      <sz val="8"/>
      <name val="Arial Narrow"/>
      <family val="2"/>
    </font>
    <font>
      <b/>
      <sz val="7"/>
      <color indexed="8"/>
      <name val="Arial Narrow"/>
      <family val="2"/>
    </font>
    <font>
      <u/>
      <sz val="10"/>
      <color rgb="FFFF0000"/>
      <name val="Arial Narrow"/>
      <family val="2"/>
    </font>
    <font>
      <sz val="10"/>
      <color theme="0"/>
      <name val="Arial"/>
      <family val="2"/>
    </font>
    <font>
      <u/>
      <sz val="10"/>
      <color theme="0"/>
      <name val="Arial Narrow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164" fontId="4" fillId="0" borderId="0" xfId="0" applyNumberFormat="1" applyFont="1"/>
    <xf numFmtId="0" fontId="7" fillId="0" borderId="0" xfId="0" applyFont="1" applyAlignment="1">
      <alignment vertical="center"/>
    </xf>
    <xf numFmtId="0" fontId="8" fillId="0" borderId="0" xfId="0" applyFont="1"/>
    <xf numFmtId="0" fontId="9" fillId="0" borderId="0" xfId="0" applyFont="1" applyBorder="1" applyAlignment="1"/>
    <xf numFmtId="0" fontId="8" fillId="0" borderId="0" xfId="0" applyFont="1" applyBorder="1"/>
    <xf numFmtId="0" fontId="8" fillId="0" borderId="0" xfId="0" applyFont="1" applyAlignment="1">
      <alignment horizontal="centerContinuous"/>
    </xf>
    <xf numFmtId="0" fontId="10" fillId="0" borderId="1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horizontal="right" vertical="center"/>
    </xf>
    <xf numFmtId="0" fontId="8" fillId="0" borderId="5" xfId="0" applyFont="1" applyBorder="1" applyAlignment="1">
      <alignment horizontal="centerContinuous"/>
    </xf>
    <xf numFmtId="0" fontId="11" fillId="0" borderId="0" xfId="0" applyFont="1"/>
    <xf numFmtId="0" fontId="10" fillId="0" borderId="5" xfId="0" applyFont="1" applyBorder="1" applyAlignment="1">
      <alignment horizontal="left"/>
    </xf>
    <xf numFmtId="164" fontId="10" fillId="0" borderId="0" xfId="0" applyNumberFormat="1" applyFont="1" applyBorder="1" applyAlignment="1"/>
    <xf numFmtId="0" fontId="10" fillId="0" borderId="5" xfId="0" applyFont="1" applyBorder="1" applyAlignment="1"/>
    <xf numFmtId="164" fontId="12" fillId="0" borderId="0" xfId="0" applyNumberFormat="1" applyFont="1"/>
    <xf numFmtId="164" fontId="10" fillId="0" borderId="0" xfId="0" applyNumberFormat="1" applyFont="1" applyBorder="1"/>
    <xf numFmtId="0" fontId="8" fillId="0" borderId="5" xfId="0" applyFont="1" applyBorder="1" applyAlignment="1"/>
    <xf numFmtId="164" fontId="11" fillId="0" borderId="0" xfId="0" applyNumberFormat="1" applyFont="1"/>
    <xf numFmtId="164" fontId="8" fillId="0" borderId="0" xfId="0" applyNumberFormat="1" applyFont="1" applyBorder="1" applyAlignment="1"/>
    <xf numFmtId="164" fontId="8" fillId="0" borderId="0" xfId="0" applyNumberFormat="1" applyFont="1" applyBorder="1"/>
    <xf numFmtId="164" fontId="8" fillId="0" borderId="0" xfId="0" applyNumberFormat="1" applyFont="1" applyFill="1" applyBorder="1"/>
    <xf numFmtId="164" fontId="8" fillId="0" borderId="0" xfId="0" applyNumberFormat="1" applyFont="1"/>
    <xf numFmtId="164" fontId="8" fillId="0" borderId="0" xfId="0" applyNumberFormat="1" applyFont="1" applyAlignment="1">
      <alignment horizontal="right"/>
    </xf>
    <xf numFmtId="0" fontId="8" fillId="0" borderId="5" xfId="0" applyFont="1" applyBorder="1" applyAlignment="1">
      <alignment wrapText="1"/>
    </xf>
    <xf numFmtId="0" fontId="8" fillId="0" borderId="7" xfId="0" applyFont="1" applyBorder="1" applyAlignment="1"/>
    <xf numFmtId="0" fontId="8" fillId="0" borderId="6" xfId="0" applyFont="1" applyBorder="1"/>
    <xf numFmtId="0" fontId="8" fillId="0" borderId="0" xfId="0" applyFont="1" applyBorder="1" applyAlignment="1"/>
    <xf numFmtId="0" fontId="10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165" fontId="10" fillId="0" borderId="0" xfId="0" applyNumberFormat="1" applyFont="1" applyBorder="1" applyAlignment="1"/>
    <xf numFmtId="165" fontId="12" fillId="0" borderId="0" xfId="0" applyNumberFormat="1" applyFont="1"/>
    <xf numFmtId="165" fontId="10" fillId="0" borderId="0" xfId="0" applyNumberFormat="1" applyFont="1" applyBorder="1"/>
    <xf numFmtId="165" fontId="11" fillId="0" borderId="0" xfId="0" applyNumberFormat="1" applyFont="1"/>
    <xf numFmtId="165" fontId="8" fillId="0" borderId="0" xfId="0" applyNumberFormat="1" applyFont="1" applyFill="1" applyBorder="1"/>
    <xf numFmtId="165" fontId="8" fillId="0" borderId="0" xfId="0" applyNumberFormat="1" applyFont="1"/>
    <xf numFmtId="165" fontId="8" fillId="0" borderId="0" xfId="0" applyNumberFormat="1" applyFont="1" applyAlignment="1">
      <alignment horizontal="right"/>
    </xf>
    <xf numFmtId="165" fontId="8" fillId="0" borderId="6" xfId="0" applyNumberFormat="1" applyFont="1" applyBorder="1" applyAlignment="1">
      <alignment horizontal="right"/>
    </xf>
    <xf numFmtId="0" fontId="13" fillId="0" borderId="0" xfId="0" applyFont="1" applyBorder="1" applyAlignme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r>
              <a:rPr lang="es-PE" sz="900">
                <a:latin typeface="Arial Narrow" panose="020B0606020202030204" pitchFamily="34" charset="0"/>
              </a:rPr>
              <a:t>ICA: PERSONAL DOCENTE POR PROVINCIA, 2021</a:t>
            </a:r>
          </a:p>
        </c:rich>
      </c:tx>
      <c:layout>
        <c:manualLayout>
          <c:xMode val="edge"/>
          <c:yMode val="edge"/>
          <c:x val="0.24107319918343539"/>
          <c:y val="2.1297227145499798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hPercent val="44"/>
      <c:rotY val="20"/>
      <c:depthPercent val="100"/>
      <c:rAngAx val="1"/>
    </c:view3D>
    <c:floor>
      <c:thickness val="0"/>
      <c:spPr>
        <a:solidFill>
          <a:srgbClr val="FFFF0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5046904315196998E-3"/>
          <c:y val="0.1198506256240696"/>
          <c:w val="0.98499061913696062"/>
          <c:h val="0.74576362456537948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1.5327099121990623E-2"/>
                  <c:y val="-3.08020719649119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80-47DB-B79E-91F91F4051E9}"/>
                </c:ext>
              </c:extLst>
            </c:dLbl>
            <c:dLbl>
              <c:idx val="1"/>
              <c:layout>
                <c:manualLayout>
                  <c:x val="1.5438586124201641E-2"/>
                  <c:y val="-3.357535364259242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C80-47DB-B79E-91F91F4051E9}"/>
                </c:ext>
              </c:extLst>
            </c:dLbl>
            <c:dLbl>
              <c:idx val="2"/>
              <c:layout>
                <c:manualLayout>
                  <c:x val="1.9302418342172518E-2"/>
                  <c:y val="-3.70002064348698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80-47DB-B79E-91F91F4051E9}"/>
                </c:ext>
              </c:extLst>
            </c:dLbl>
            <c:dLbl>
              <c:idx val="3"/>
              <c:layout>
                <c:manualLayout>
                  <c:x val="1.7537535763001481E-2"/>
                  <c:y val="-2.91796671483481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80-47DB-B79E-91F91F4051E9}"/>
                </c:ext>
              </c:extLst>
            </c:dLbl>
            <c:dLbl>
              <c:idx val="4"/>
              <c:layout>
                <c:manualLayout>
                  <c:x val="1.5835290757510938E-2"/>
                  <c:y val="-2.50108624062441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80-47DB-B79E-91F91F4051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 Narrow" panose="020B0606020202030204" pitchFamily="34" charset="0"/>
                    <a:ea typeface="Arial"/>
                    <a:cs typeface="Arial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'5,2'!$K$56:$K$60</c:f>
              <c:strCache>
                <c:ptCount val="5"/>
                <c:pt idx="0">
                  <c:v>Ica</c:v>
                </c:pt>
                <c:pt idx="1">
                  <c:v>Chincha</c:v>
                </c:pt>
                <c:pt idx="2">
                  <c:v>Pisco</c:v>
                </c:pt>
                <c:pt idx="3">
                  <c:v>Nasca</c:v>
                </c:pt>
                <c:pt idx="4">
                  <c:v>Palpa</c:v>
                </c:pt>
              </c:strCache>
            </c:strRef>
          </c:cat>
          <c:val>
            <c:numRef>
              <c:f>'5,2'!$L$56:$L$60</c:f>
              <c:numCache>
                <c:formatCode>###\ ###</c:formatCode>
                <c:ptCount val="5"/>
                <c:pt idx="0">
                  <c:v>6787</c:v>
                </c:pt>
                <c:pt idx="1">
                  <c:v>4155</c:v>
                </c:pt>
                <c:pt idx="2">
                  <c:v>2668</c:v>
                </c:pt>
                <c:pt idx="3">
                  <c:v>1492</c:v>
                </c:pt>
                <c:pt idx="4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80-47DB-B79E-91F91F405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52149128"/>
        <c:axId val="252149512"/>
        <c:axId val="0"/>
      </c:bar3DChart>
      <c:catAx>
        <c:axId val="252149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 b="1">
                    <a:latin typeface="Arial Narrow" panose="020B0606020202030204" pitchFamily="34" charset="0"/>
                  </a:rPr>
                  <a:t>Fuente: Dirección Regional de Educación - Ica</a:t>
                </a:r>
              </a:p>
            </c:rich>
          </c:tx>
          <c:layout>
            <c:manualLayout>
              <c:xMode val="edge"/>
              <c:yMode val="edge"/>
              <c:x val="3.5610445504818469E-2"/>
              <c:y val="0.93943070769290371"/>
            </c:manualLayout>
          </c:layout>
          <c:overlay val="0"/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endParaRPr lang="es-PE"/>
          </a:p>
        </c:txPr>
        <c:crossAx val="252149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2149512"/>
        <c:scaling>
          <c:orientation val="minMax"/>
        </c:scaling>
        <c:delete val="0"/>
        <c:axPos val="l"/>
        <c:numFmt formatCode="###\ ###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Arial Narrow" panose="020B0606020202030204" pitchFamily="34" charset="0"/>
              </a:defRPr>
            </a:pPr>
            <a:endParaRPr lang="es-PE"/>
          </a:p>
        </c:txPr>
        <c:crossAx val="252149128"/>
        <c:crosses val="autoZero"/>
        <c:crossBetween val="between"/>
        <c:majorUnit val="2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>
      <a:outerShdw dist="35921" dir="2700000" algn="br">
        <a:schemeClr val="bg1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19051</xdr:colOff>
      <xdr:row>8</xdr:row>
      <xdr:rowOff>28575</xdr:rowOff>
    </xdr:from>
    <xdr:to>
      <xdr:col>25</xdr:col>
      <xdr:colOff>390525</xdr:colOff>
      <xdr:row>23</xdr:row>
      <xdr:rowOff>57150</xdr:rowOff>
    </xdr:to>
    <xdr:graphicFrame macro="">
      <xdr:nvGraphicFramePr>
        <xdr:cNvPr id="1121" name="grafico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19050</xdr:colOff>
      <xdr:row>2</xdr:row>
      <xdr:rowOff>66675</xdr:rowOff>
    </xdr:from>
    <xdr:to>
      <xdr:col>21</xdr:col>
      <xdr:colOff>696046</xdr:colOff>
      <xdr:row>6</xdr:row>
      <xdr:rowOff>33075</xdr:rowOff>
    </xdr:to>
    <xdr:pic macro="[0]!Imagenes">
      <xdr:nvPicPr>
        <xdr:cNvPr id="4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8975" y="419100"/>
          <a:ext cx="1438996" cy="576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16650</xdr:colOff>
      <xdr:row>2</xdr:row>
      <xdr:rowOff>64275</xdr:rowOff>
    </xdr:from>
    <xdr:to>
      <xdr:col>21</xdr:col>
      <xdr:colOff>704850</xdr:colOff>
      <xdr:row>6</xdr:row>
      <xdr:rowOff>30675</xdr:rowOff>
    </xdr:to>
    <xdr:pic macro="[0]!Imagenes">
      <xdr:nvPicPr>
        <xdr:cNvPr id="5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6575" y="416700"/>
          <a:ext cx="1450200" cy="576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75"/>
  <sheetViews>
    <sheetView showGridLines="0" tabSelected="1" zoomScale="106" zoomScaleNormal="106" workbookViewId="0"/>
  </sheetViews>
  <sheetFormatPr baseColWidth="10" defaultRowHeight="12.75" customHeight="1" x14ac:dyDescent="0.2"/>
  <cols>
    <col min="1" max="1" width="1.7109375" customWidth="1"/>
    <col min="2" max="2" width="19.7109375" customWidth="1"/>
    <col min="3" max="7" width="4.7109375" customWidth="1"/>
    <col min="8" max="8" width="0.85546875" customWidth="1"/>
    <col min="9" max="13" width="4.7109375" customWidth="1"/>
    <col min="14" max="14" width="0.85546875" customWidth="1"/>
    <col min="15" max="19" width="4.7109375" customWidth="1"/>
    <col min="20" max="20" width="11.42578125" customWidth="1"/>
  </cols>
  <sheetData>
    <row r="1" spans="1:20" x14ac:dyDescent="0.2">
      <c r="A1" s="1" t="s">
        <v>0</v>
      </c>
      <c r="B1" s="1"/>
      <c r="C1" s="1"/>
      <c r="D1" s="1"/>
      <c r="E1" s="1"/>
      <c r="F1" s="1"/>
      <c r="G1" s="1"/>
      <c r="H1" s="1"/>
      <c r="I1" s="2"/>
      <c r="J1" s="3"/>
      <c r="K1" s="1"/>
      <c r="L1" s="1"/>
      <c r="M1" s="1"/>
      <c r="N1" s="1"/>
      <c r="O1" s="1"/>
    </row>
    <row r="2" spans="1:20" ht="15" customHeight="1" x14ac:dyDescent="0.25">
      <c r="A2" s="9"/>
      <c r="B2" s="10" t="s">
        <v>6</v>
      </c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</row>
    <row r="3" spans="1:20" ht="6" customHeight="1" x14ac:dyDescent="0.25">
      <c r="A3" s="9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2"/>
      <c r="Q3" s="12"/>
      <c r="R3" s="12"/>
      <c r="S3" s="9"/>
    </row>
    <row r="4" spans="1:20" ht="18" customHeight="1" x14ac:dyDescent="0.25">
      <c r="A4" s="9"/>
      <c r="B4" s="13" t="s">
        <v>7</v>
      </c>
      <c r="C4" s="50" t="s">
        <v>8</v>
      </c>
      <c r="D4" s="51"/>
      <c r="E4" s="51"/>
      <c r="F4" s="51"/>
      <c r="G4" s="51"/>
      <c r="H4" s="14"/>
      <c r="I4" s="51" t="s">
        <v>1</v>
      </c>
      <c r="J4" s="51"/>
      <c r="K4" s="51"/>
      <c r="L4" s="51"/>
      <c r="M4" s="51"/>
      <c r="N4" s="14"/>
      <c r="O4" s="51" t="s">
        <v>2</v>
      </c>
      <c r="P4" s="51"/>
      <c r="Q4" s="51"/>
      <c r="R4" s="51"/>
      <c r="S4" s="51"/>
    </row>
    <row r="5" spans="1:20" ht="18" customHeight="1" x14ac:dyDescent="0.25">
      <c r="A5" s="9"/>
      <c r="B5" s="15" t="s">
        <v>9</v>
      </c>
      <c r="C5" s="16">
        <v>2017</v>
      </c>
      <c r="D5" s="16">
        <v>2018</v>
      </c>
      <c r="E5" s="16">
        <v>2019</v>
      </c>
      <c r="F5" s="16">
        <v>2020</v>
      </c>
      <c r="G5" s="16">
        <v>2021</v>
      </c>
      <c r="H5" s="17"/>
      <c r="I5" s="16">
        <v>2017</v>
      </c>
      <c r="J5" s="16">
        <v>2018</v>
      </c>
      <c r="K5" s="16">
        <v>2019</v>
      </c>
      <c r="L5" s="16">
        <v>2020</v>
      </c>
      <c r="M5" s="16">
        <v>2021</v>
      </c>
      <c r="N5" s="17"/>
      <c r="O5" s="16">
        <v>2017</v>
      </c>
      <c r="P5" s="16">
        <v>2018</v>
      </c>
      <c r="Q5" s="16">
        <v>2019</v>
      </c>
      <c r="R5" s="16">
        <v>2020</v>
      </c>
      <c r="S5" s="16">
        <v>2021</v>
      </c>
    </row>
    <row r="6" spans="1:20" ht="6" customHeight="1" x14ac:dyDescent="0.25">
      <c r="A6" s="9"/>
      <c r="B6" s="18"/>
      <c r="C6" s="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6"/>
      <c r="Q6" s="19"/>
      <c r="R6" s="19"/>
      <c r="S6" s="19"/>
      <c r="T6" s="48">
        <v>2</v>
      </c>
    </row>
    <row r="7" spans="1:20" ht="15" customHeight="1" x14ac:dyDescent="0.25">
      <c r="A7" s="9"/>
      <c r="B7" s="20" t="s">
        <v>8</v>
      </c>
      <c r="C7" s="21">
        <f>SUM(I7,O7,C34,I34,O34)</f>
        <v>16164</v>
      </c>
      <c r="D7" s="21">
        <f>SUM(J7,P7,D34,J34,P34)</f>
        <v>16099</v>
      </c>
      <c r="E7" s="21">
        <f>SUM(K7,Q7,E34,K34,Q34)</f>
        <v>16324</v>
      </c>
      <c r="F7" s="21">
        <f>SUM(L7,R7,F34,L34,R34)</f>
        <v>15670</v>
      </c>
      <c r="G7" s="21">
        <f>SUM(M7,S7,G34,M34,S34)</f>
        <v>15602</v>
      </c>
      <c r="H7" s="21"/>
      <c r="I7" s="21">
        <f>I9+I21</f>
        <v>7219</v>
      </c>
      <c r="J7" s="21">
        <f>J9+J21</f>
        <v>7364</v>
      </c>
      <c r="K7" s="21">
        <f>K9+K21</f>
        <v>7249</v>
      </c>
      <c r="L7" s="21">
        <f>L9+L21</f>
        <v>6814</v>
      </c>
      <c r="M7" s="21">
        <f>M9+M21</f>
        <v>6787</v>
      </c>
      <c r="N7" s="21"/>
      <c r="O7" s="21">
        <f>O9+O21</f>
        <v>4239</v>
      </c>
      <c r="P7" s="21">
        <f>P9+P21</f>
        <v>4116</v>
      </c>
      <c r="Q7" s="21">
        <f>Q9+Q21</f>
        <v>4310</v>
      </c>
      <c r="R7" s="21">
        <f>R9+R21</f>
        <v>4225</v>
      </c>
      <c r="S7" s="21">
        <f>S9+S21</f>
        <v>4155</v>
      </c>
    </row>
    <row r="8" spans="1:20" ht="4.5" customHeight="1" x14ac:dyDescent="0.25">
      <c r="A8" s="9"/>
      <c r="B8" s="22"/>
      <c r="C8" s="23"/>
      <c r="D8" s="21">
        <f t="shared" ref="D8:G23" si="0">SUM(J8,P8,D35,J35,P35)</f>
        <v>0</v>
      </c>
      <c r="E8" s="21">
        <f t="shared" si="0"/>
        <v>0</v>
      </c>
      <c r="F8" s="21">
        <f t="shared" si="0"/>
        <v>0</v>
      </c>
      <c r="G8" s="21">
        <f t="shared" si="0"/>
        <v>0</v>
      </c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</row>
    <row r="9" spans="1:20" ht="15" customHeight="1" x14ac:dyDescent="0.25">
      <c r="A9" s="9"/>
      <c r="B9" s="22" t="s">
        <v>10</v>
      </c>
      <c r="C9" s="21">
        <f>SUM(I9,O9,C36,I36,O36)</f>
        <v>15680</v>
      </c>
      <c r="D9" s="21">
        <f t="shared" si="0"/>
        <v>15615</v>
      </c>
      <c r="E9" s="21">
        <f t="shared" si="0"/>
        <v>15835</v>
      </c>
      <c r="F9" s="21">
        <f t="shared" si="0"/>
        <v>15182</v>
      </c>
      <c r="G9" s="21">
        <f t="shared" si="0"/>
        <v>15115</v>
      </c>
      <c r="H9" s="24"/>
      <c r="I9" s="24">
        <f>SUM(I11:I19)</f>
        <v>6990</v>
      </c>
      <c r="J9" s="24">
        <f>SUM(J11:J19)</f>
        <v>7135</v>
      </c>
      <c r="K9" s="24">
        <f>SUM(K11:K19)</f>
        <v>7019</v>
      </c>
      <c r="L9" s="24">
        <f>SUM(L11:L19)</f>
        <v>6584</v>
      </c>
      <c r="M9" s="24">
        <f>SUM(M11:M19)</f>
        <v>6558</v>
      </c>
      <c r="N9" s="24"/>
      <c r="O9" s="24">
        <f>SUM(O11:O19)</f>
        <v>4097</v>
      </c>
      <c r="P9" s="24">
        <f>SUM(P11:P19)</f>
        <v>3974</v>
      </c>
      <c r="Q9" s="24">
        <f>SUM(Q11:Q19)</f>
        <v>4167</v>
      </c>
      <c r="R9" s="24">
        <f>SUM(R11:R19)</f>
        <v>4083</v>
      </c>
      <c r="S9" s="24">
        <f>SUM(S11:S19)</f>
        <v>4013</v>
      </c>
    </row>
    <row r="10" spans="1:20" ht="4.5" customHeight="1" x14ac:dyDescent="0.25">
      <c r="A10" s="9"/>
      <c r="B10" s="25"/>
      <c r="C10" s="26"/>
      <c r="D10" s="27">
        <f t="shared" si="0"/>
        <v>0</v>
      </c>
      <c r="E10" s="27">
        <f t="shared" si="0"/>
        <v>0</v>
      </c>
      <c r="F10" s="27">
        <f t="shared" si="0"/>
        <v>0</v>
      </c>
      <c r="G10" s="27">
        <f t="shared" si="0"/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</row>
    <row r="11" spans="1:20" ht="15" customHeight="1" x14ac:dyDescent="0.25">
      <c r="A11" s="9"/>
      <c r="B11" s="25" t="s">
        <v>11</v>
      </c>
      <c r="C11" s="27">
        <f>SUM(I11,O11,C38,I38,O38)</f>
        <v>2904</v>
      </c>
      <c r="D11" s="27">
        <f t="shared" si="0"/>
        <v>2961</v>
      </c>
      <c r="E11" s="27">
        <f t="shared" si="0"/>
        <v>3028</v>
      </c>
      <c r="F11" s="27">
        <f t="shared" si="0"/>
        <v>2894</v>
      </c>
      <c r="G11" s="27">
        <f t="shared" si="0"/>
        <v>2686</v>
      </c>
      <c r="H11" s="28"/>
      <c r="I11" s="29">
        <v>1222</v>
      </c>
      <c r="J11" s="29">
        <v>1252</v>
      </c>
      <c r="K11" s="29">
        <v>1286</v>
      </c>
      <c r="L11" s="29">
        <v>1303</v>
      </c>
      <c r="M11" s="29">
        <v>1131</v>
      </c>
      <c r="N11" s="29"/>
      <c r="O11" s="30">
        <v>814</v>
      </c>
      <c r="P11" s="30">
        <v>831</v>
      </c>
      <c r="Q11" s="30">
        <v>853</v>
      </c>
      <c r="R11" s="30">
        <v>767</v>
      </c>
      <c r="S11" s="30">
        <v>749</v>
      </c>
    </row>
    <row r="12" spans="1:20" ht="15" customHeight="1" x14ac:dyDescent="0.25">
      <c r="A12" s="9"/>
      <c r="B12" s="25" t="s">
        <v>12</v>
      </c>
      <c r="C12" s="27">
        <f>SUM(I12,O12,C39,I39,O39)</f>
        <v>5480</v>
      </c>
      <c r="D12" s="27">
        <f t="shared" si="0"/>
        <v>5453</v>
      </c>
      <c r="E12" s="27">
        <f t="shared" si="0"/>
        <v>5620</v>
      </c>
      <c r="F12" s="27">
        <f t="shared" si="0"/>
        <v>5415</v>
      </c>
      <c r="G12" s="27">
        <f t="shared" si="0"/>
        <v>5499</v>
      </c>
      <c r="H12" s="28"/>
      <c r="I12" s="29">
        <v>2314</v>
      </c>
      <c r="J12" s="29">
        <v>2376</v>
      </c>
      <c r="K12" s="29">
        <v>2395</v>
      </c>
      <c r="L12" s="29">
        <v>2286</v>
      </c>
      <c r="M12" s="29">
        <v>2327</v>
      </c>
      <c r="N12" s="29"/>
      <c r="O12" s="30">
        <v>1554</v>
      </c>
      <c r="P12" s="30">
        <v>1520</v>
      </c>
      <c r="Q12" s="30">
        <v>1616</v>
      </c>
      <c r="R12" s="30">
        <v>1559</v>
      </c>
      <c r="S12" s="30">
        <v>1590</v>
      </c>
    </row>
    <row r="13" spans="1:20" ht="15" customHeight="1" x14ac:dyDescent="0.25">
      <c r="A13" s="9"/>
      <c r="B13" s="25" t="s">
        <v>13</v>
      </c>
      <c r="C13" s="27">
        <f>SUM(I13,O13,C40,I40,O40)</f>
        <v>5391</v>
      </c>
      <c r="D13" s="27">
        <f t="shared" si="0"/>
        <v>5368</v>
      </c>
      <c r="E13" s="27">
        <f t="shared" si="0"/>
        <v>5413</v>
      </c>
      <c r="F13" s="27">
        <f t="shared" si="0"/>
        <v>5352</v>
      </c>
      <c r="G13" s="27">
        <f t="shared" si="0"/>
        <v>5392</v>
      </c>
      <c r="H13" s="28"/>
      <c r="I13" s="29">
        <v>2389</v>
      </c>
      <c r="J13" s="29">
        <v>2408</v>
      </c>
      <c r="K13" s="29">
        <v>2388</v>
      </c>
      <c r="L13" s="29">
        <v>2298</v>
      </c>
      <c r="M13" s="29">
        <v>2307</v>
      </c>
      <c r="N13" s="29"/>
      <c r="O13" s="30">
        <v>1367</v>
      </c>
      <c r="P13" s="30">
        <v>1372</v>
      </c>
      <c r="Q13" s="30">
        <v>1379</v>
      </c>
      <c r="R13" s="30">
        <v>1403</v>
      </c>
      <c r="S13" s="30">
        <v>1416</v>
      </c>
    </row>
    <row r="14" spans="1:20" ht="15" customHeight="1" x14ac:dyDescent="0.25">
      <c r="A14" s="9"/>
      <c r="B14" s="25" t="s">
        <v>14</v>
      </c>
      <c r="C14" s="28">
        <v>356</v>
      </c>
      <c r="D14" s="27">
        <f t="shared" si="0"/>
        <v>380</v>
      </c>
      <c r="E14" s="27">
        <f t="shared" si="0"/>
        <v>380</v>
      </c>
      <c r="F14" s="27">
        <f t="shared" si="0"/>
        <v>379</v>
      </c>
      <c r="G14" s="27">
        <f t="shared" si="0"/>
        <v>415</v>
      </c>
      <c r="H14" s="28"/>
      <c r="I14" s="29">
        <v>158</v>
      </c>
      <c r="J14" s="29">
        <v>144</v>
      </c>
      <c r="K14" s="29">
        <v>148</v>
      </c>
      <c r="L14" s="29">
        <v>147</v>
      </c>
      <c r="M14" s="29">
        <v>178</v>
      </c>
      <c r="N14" s="29"/>
      <c r="O14" s="30">
        <v>86</v>
      </c>
      <c r="P14" s="30">
        <v>88</v>
      </c>
      <c r="Q14" s="30">
        <v>80</v>
      </c>
      <c r="R14" s="30">
        <v>87</v>
      </c>
      <c r="S14" s="30">
        <v>102</v>
      </c>
    </row>
    <row r="15" spans="1:20" ht="15" customHeight="1" x14ac:dyDescent="0.25">
      <c r="A15" s="9"/>
      <c r="B15" s="25" t="s">
        <v>15</v>
      </c>
      <c r="C15" s="27">
        <f>SUM(I15,O15,C42,I42,O42)</f>
        <v>76</v>
      </c>
      <c r="D15" s="27">
        <f t="shared" si="0"/>
        <v>97</v>
      </c>
      <c r="E15" s="27">
        <f t="shared" si="0"/>
        <v>99</v>
      </c>
      <c r="F15" s="27">
        <f t="shared" si="0"/>
        <v>97</v>
      </c>
      <c r="G15" s="27">
        <f t="shared" si="0"/>
        <v>100</v>
      </c>
      <c r="H15" s="28"/>
      <c r="I15" s="29">
        <v>8</v>
      </c>
      <c r="J15" s="29">
        <v>30</v>
      </c>
      <c r="K15" s="29">
        <v>31</v>
      </c>
      <c r="L15" s="29">
        <v>30</v>
      </c>
      <c r="M15" s="29">
        <v>30</v>
      </c>
      <c r="N15" s="29"/>
      <c r="O15" s="30">
        <v>27</v>
      </c>
      <c r="P15" s="30">
        <v>23</v>
      </c>
      <c r="Q15" s="30">
        <v>28</v>
      </c>
      <c r="R15" s="30">
        <v>27</v>
      </c>
      <c r="S15" s="30">
        <v>24</v>
      </c>
    </row>
    <row r="16" spans="1:20" ht="15" customHeight="1" x14ac:dyDescent="0.25">
      <c r="A16" s="9"/>
      <c r="B16" s="25" t="s">
        <v>16</v>
      </c>
      <c r="C16" s="28">
        <v>136</v>
      </c>
      <c r="D16" s="27">
        <f t="shared" si="0"/>
        <v>142</v>
      </c>
      <c r="E16" s="27">
        <f t="shared" si="0"/>
        <v>188</v>
      </c>
      <c r="F16" s="27">
        <f t="shared" si="0"/>
        <v>175</v>
      </c>
      <c r="G16" s="27">
        <f t="shared" si="0"/>
        <v>272</v>
      </c>
      <c r="H16" s="28"/>
      <c r="I16" s="29">
        <v>75</v>
      </c>
      <c r="J16" s="29">
        <v>76</v>
      </c>
      <c r="K16" s="29">
        <v>90</v>
      </c>
      <c r="L16" s="29">
        <v>80</v>
      </c>
      <c r="M16" s="29">
        <v>81</v>
      </c>
      <c r="N16" s="29"/>
      <c r="O16" s="31">
        <v>26</v>
      </c>
      <c r="P16" s="31">
        <v>21</v>
      </c>
      <c r="Q16" s="31">
        <v>43</v>
      </c>
      <c r="R16" s="31">
        <v>52</v>
      </c>
      <c r="S16" s="31">
        <v>128</v>
      </c>
    </row>
    <row r="17" spans="1:19" ht="15" customHeight="1" x14ac:dyDescent="0.25">
      <c r="A17" s="9"/>
      <c r="B17" s="25" t="s">
        <v>17</v>
      </c>
      <c r="C17" s="28">
        <v>1129</v>
      </c>
      <c r="D17" s="27">
        <f t="shared" si="0"/>
        <v>850</v>
      </c>
      <c r="E17" s="27">
        <f t="shared" si="0"/>
        <v>733</v>
      </c>
      <c r="F17" s="27">
        <f t="shared" si="0"/>
        <v>574</v>
      </c>
      <c r="G17" s="27">
        <f t="shared" si="0"/>
        <v>481</v>
      </c>
      <c r="H17" s="28"/>
      <c r="I17" s="29">
        <v>589</v>
      </c>
      <c r="J17" s="29">
        <v>603</v>
      </c>
      <c r="K17" s="29">
        <v>434</v>
      </c>
      <c r="L17" s="29">
        <v>247</v>
      </c>
      <c r="M17" s="29">
        <v>298</v>
      </c>
      <c r="N17" s="29"/>
      <c r="O17" s="30">
        <v>158</v>
      </c>
      <c r="P17" s="30">
        <v>67</v>
      </c>
      <c r="Q17" s="30">
        <v>112</v>
      </c>
      <c r="R17" s="30">
        <v>140</v>
      </c>
      <c r="S17" s="31" t="s">
        <v>18</v>
      </c>
    </row>
    <row r="18" spans="1:19" ht="15" customHeight="1" x14ac:dyDescent="0.25">
      <c r="A18" s="9"/>
      <c r="B18" s="25" t="s">
        <v>19</v>
      </c>
      <c r="C18" s="28">
        <v>19</v>
      </c>
      <c r="D18" s="27">
        <f t="shared" si="0"/>
        <v>52</v>
      </c>
      <c r="E18" s="27">
        <f t="shared" si="0"/>
        <v>50</v>
      </c>
      <c r="F18" s="27">
        <f t="shared" si="0"/>
        <v>48</v>
      </c>
      <c r="G18" s="27">
        <f t="shared" si="0"/>
        <v>50</v>
      </c>
      <c r="H18" s="28"/>
      <c r="I18" s="29">
        <v>51</v>
      </c>
      <c r="J18" s="29">
        <v>52</v>
      </c>
      <c r="K18" s="29">
        <v>50</v>
      </c>
      <c r="L18" s="29">
        <v>48</v>
      </c>
      <c r="M18" s="29">
        <v>50</v>
      </c>
      <c r="N18" s="29"/>
      <c r="O18" s="31" t="s">
        <v>18</v>
      </c>
      <c r="P18" s="31" t="s">
        <v>18</v>
      </c>
      <c r="Q18" s="31" t="s">
        <v>18</v>
      </c>
      <c r="R18" s="31" t="s">
        <v>18</v>
      </c>
      <c r="S18" s="31" t="s">
        <v>18</v>
      </c>
    </row>
    <row r="19" spans="1:19" ht="15" customHeight="1" x14ac:dyDescent="0.25">
      <c r="A19" s="9"/>
      <c r="B19" s="32" t="s">
        <v>20</v>
      </c>
      <c r="C19" s="28">
        <v>380</v>
      </c>
      <c r="D19" s="27">
        <f t="shared" si="0"/>
        <v>312</v>
      </c>
      <c r="E19" s="27">
        <f t="shared" si="0"/>
        <v>324</v>
      </c>
      <c r="F19" s="27">
        <f t="shared" si="0"/>
        <v>248</v>
      </c>
      <c r="G19" s="27">
        <f t="shared" si="0"/>
        <v>220</v>
      </c>
      <c r="H19" s="28"/>
      <c r="I19" s="29">
        <v>184</v>
      </c>
      <c r="J19" s="29">
        <v>194</v>
      </c>
      <c r="K19" s="29">
        <v>197</v>
      </c>
      <c r="L19" s="29">
        <v>145</v>
      </c>
      <c r="M19" s="29">
        <v>156</v>
      </c>
      <c r="N19" s="29"/>
      <c r="O19" s="30">
        <v>65</v>
      </c>
      <c r="P19" s="30">
        <v>52</v>
      </c>
      <c r="Q19" s="30">
        <v>56</v>
      </c>
      <c r="R19" s="30">
        <v>48</v>
      </c>
      <c r="S19" s="30">
        <v>4</v>
      </c>
    </row>
    <row r="20" spans="1:19" ht="9" customHeight="1" x14ac:dyDescent="0.25">
      <c r="A20" s="9"/>
      <c r="B20" s="25"/>
      <c r="C20" s="26"/>
      <c r="D20" s="27">
        <f t="shared" si="0"/>
        <v>0</v>
      </c>
      <c r="E20" s="27">
        <f t="shared" si="0"/>
        <v>0</v>
      </c>
      <c r="F20" s="27">
        <f t="shared" si="0"/>
        <v>0</v>
      </c>
      <c r="G20" s="27">
        <f t="shared" si="0"/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</row>
    <row r="21" spans="1:19" ht="15" customHeight="1" x14ac:dyDescent="0.25">
      <c r="A21" s="9"/>
      <c r="B21" s="22" t="s">
        <v>21</v>
      </c>
      <c r="C21" s="24">
        <v>494</v>
      </c>
      <c r="D21" s="21">
        <f t="shared" si="0"/>
        <v>484</v>
      </c>
      <c r="E21" s="21">
        <f t="shared" si="0"/>
        <v>489</v>
      </c>
      <c r="F21" s="21">
        <f t="shared" si="0"/>
        <v>488</v>
      </c>
      <c r="G21" s="21">
        <f t="shared" si="0"/>
        <v>487</v>
      </c>
      <c r="H21" s="24"/>
      <c r="I21" s="24">
        <f>I23</f>
        <v>229</v>
      </c>
      <c r="J21" s="24">
        <f>J23</f>
        <v>229</v>
      </c>
      <c r="K21" s="24">
        <f>K23+K24</f>
        <v>230</v>
      </c>
      <c r="L21" s="24">
        <f>L23+L24</f>
        <v>230</v>
      </c>
      <c r="M21" s="24">
        <f>M23+M24</f>
        <v>229</v>
      </c>
      <c r="N21" s="24"/>
      <c r="O21" s="24">
        <f>O23</f>
        <v>142</v>
      </c>
      <c r="P21" s="24">
        <f>P23</f>
        <v>142</v>
      </c>
      <c r="Q21" s="24">
        <f>Q23+Q24</f>
        <v>143</v>
      </c>
      <c r="R21" s="24">
        <f>R23</f>
        <v>142</v>
      </c>
      <c r="S21" s="24">
        <f>S23</f>
        <v>142</v>
      </c>
    </row>
    <row r="22" spans="1:19" ht="4.5" customHeight="1" x14ac:dyDescent="0.25">
      <c r="A22" s="9"/>
      <c r="B22" s="25"/>
      <c r="C22" s="26"/>
      <c r="D22" s="27">
        <f t="shared" si="0"/>
        <v>0</v>
      </c>
      <c r="E22" s="27">
        <f t="shared" si="0"/>
        <v>0</v>
      </c>
      <c r="F22" s="27">
        <f t="shared" si="0"/>
        <v>0</v>
      </c>
      <c r="G22" s="27">
        <f t="shared" si="0"/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</row>
    <row r="23" spans="1:19" ht="15" customHeight="1" x14ac:dyDescent="0.25">
      <c r="A23" s="9"/>
      <c r="B23" s="25" t="s">
        <v>22</v>
      </c>
      <c r="C23" s="28">
        <v>494</v>
      </c>
      <c r="D23" s="27">
        <f t="shared" si="0"/>
        <v>484</v>
      </c>
      <c r="E23" s="27">
        <f t="shared" si="0"/>
        <v>484</v>
      </c>
      <c r="F23" s="27">
        <f t="shared" si="0"/>
        <v>484</v>
      </c>
      <c r="G23" s="27">
        <f t="shared" si="0"/>
        <v>482</v>
      </c>
      <c r="H23" s="28"/>
      <c r="I23" s="29">
        <v>229</v>
      </c>
      <c r="J23" s="29">
        <v>229</v>
      </c>
      <c r="K23" s="29">
        <v>229</v>
      </c>
      <c r="L23" s="29">
        <v>229</v>
      </c>
      <c r="M23" s="29">
        <v>227</v>
      </c>
      <c r="N23" s="29"/>
      <c r="O23" s="30">
        <v>142</v>
      </c>
      <c r="P23" s="30">
        <v>142</v>
      </c>
      <c r="Q23" s="30">
        <v>142</v>
      </c>
      <c r="R23" s="30">
        <v>142</v>
      </c>
      <c r="S23" s="30">
        <v>142</v>
      </c>
    </row>
    <row r="24" spans="1:19" ht="15" customHeight="1" x14ac:dyDescent="0.25">
      <c r="A24" s="9"/>
      <c r="B24" s="25" t="s">
        <v>23</v>
      </c>
      <c r="C24" s="31" t="s">
        <v>18</v>
      </c>
      <c r="D24" s="31" t="s">
        <v>18</v>
      </c>
      <c r="E24" s="27">
        <f t="shared" ref="E24:F24" si="1">SUM(K24,Q24,E51,K51,Q51)</f>
        <v>5</v>
      </c>
      <c r="F24" s="27">
        <f t="shared" si="1"/>
        <v>4</v>
      </c>
      <c r="G24" s="27">
        <f>SUM(M24,S24,G51,M51,S51)</f>
        <v>5</v>
      </c>
      <c r="H24" s="28"/>
      <c r="I24" s="31" t="s">
        <v>18</v>
      </c>
      <c r="J24" s="31" t="s">
        <v>18</v>
      </c>
      <c r="K24" s="29">
        <v>1</v>
      </c>
      <c r="L24" s="29">
        <v>1</v>
      </c>
      <c r="M24" s="29">
        <v>2</v>
      </c>
      <c r="N24" s="29"/>
      <c r="O24" s="31" t="s">
        <v>18</v>
      </c>
      <c r="P24" s="31" t="s">
        <v>18</v>
      </c>
      <c r="Q24" s="30">
        <v>1</v>
      </c>
      <c r="R24" s="31" t="s">
        <v>18</v>
      </c>
      <c r="S24" s="31" t="s">
        <v>18</v>
      </c>
    </row>
    <row r="25" spans="1:19" ht="6" customHeight="1" x14ac:dyDescent="0.25">
      <c r="A25" s="9"/>
      <c r="B25" s="33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</row>
    <row r="26" spans="1:19" ht="12.75" customHeight="1" x14ac:dyDescent="0.25">
      <c r="A26" s="9"/>
      <c r="B26" s="35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P26" s="36"/>
      <c r="Q26" s="36"/>
      <c r="R26" s="37" t="s">
        <v>24</v>
      </c>
      <c r="S26" s="9"/>
    </row>
    <row r="27" spans="1:19" ht="9" customHeight="1" x14ac:dyDescent="0.25">
      <c r="A27" s="9"/>
      <c r="B27" s="35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36"/>
      <c r="P27" s="36"/>
      <c r="Q27" s="36"/>
      <c r="R27" s="36"/>
      <c r="S27" s="9"/>
    </row>
    <row r="28" spans="1:19" ht="9.75" customHeight="1" x14ac:dyDescent="0.25">
      <c r="A28" s="9"/>
      <c r="B28" s="35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"/>
      <c r="P28" s="9"/>
      <c r="Q28" s="9"/>
      <c r="R28" s="9"/>
      <c r="S28" s="9"/>
    </row>
    <row r="29" spans="1:19" ht="15" customHeight="1" x14ac:dyDescent="0.25">
      <c r="A29" s="9"/>
      <c r="B29" s="10" t="s">
        <v>6</v>
      </c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</row>
    <row r="30" spans="1:19" ht="10.5" customHeight="1" x14ac:dyDescent="0.25">
      <c r="A30" s="9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9"/>
      <c r="P30" s="19"/>
      <c r="Q30" s="19"/>
      <c r="R30" s="37" t="s">
        <v>25</v>
      </c>
      <c r="S30" s="9"/>
    </row>
    <row r="31" spans="1:19" ht="18" customHeight="1" x14ac:dyDescent="0.25">
      <c r="A31" s="9"/>
      <c r="B31" s="13" t="s">
        <v>7</v>
      </c>
      <c r="C31" s="51" t="s">
        <v>4</v>
      </c>
      <c r="D31" s="51"/>
      <c r="E31" s="51"/>
      <c r="F31" s="51"/>
      <c r="G31" s="51"/>
      <c r="H31" s="14"/>
      <c r="I31" s="51" t="s">
        <v>5</v>
      </c>
      <c r="J31" s="51"/>
      <c r="K31" s="51"/>
      <c r="L31" s="51"/>
      <c r="M31" s="51"/>
      <c r="N31" s="14"/>
      <c r="O31" s="51" t="s">
        <v>3</v>
      </c>
      <c r="P31" s="51"/>
      <c r="Q31" s="51"/>
      <c r="R31" s="51"/>
      <c r="S31" s="51"/>
    </row>
    <row r="32" spans="1:19" ht="18" customHeight="1" x14ac:dyDescent="0.25">
      <c r="A32" s="9"/>
      <c r="B32" s="15" t="s">
        <v>9</v>
      </c>
      <c r="C32" s="16">
        <v>2017</v>
      </c>
      <c r="D32" s="16">
        <v>2018</v>
      </c>
      <c r="E32" s="16">
        <v>2019</v>
      </c>
      <c r="F32" s="16">
        <v>2020</v>
      </c>
      <c r="G32" s="16">
        <v>2021</v>
      </c>
      <c r="H32" s="16"/>
      <c r="I32" s="16">
        <v>2017</v>
      </c>
      <c r="J32" s="16">
        <v>2018</v>
      </c>
      <c r="K32" s="16">
        <v>2019</v>
      </c>
      <c r="L32" s="16">
        <v>2020</v>
      </c>
      <c r="M32" s="16">
        <v>2021</v>
      </c>
      <c r="N32" s="16"/>
      <c r="O32" s="16">
        <v>2017</v>
      </c>
      <c r="P32" s="16">
        <v>2018</v>
      </c>
      <c r="Q32" s="16">
        <v>2019</v>
      </c>
      <c r="R32" s="16">
        <v>2020</v>
      </c>
      <c r="S32" s="16">
        <v>2021</v>
      </c>
    </row>
    <row r="33" spans="1:19" ht="6" customHeight="1" x14ac:dyDescent="0.25">
      <c r="A33" s="9"/>
      <c r="B33" s="18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</row>
    <row r="34" spans="1:19" ht="15" customHeight="1" x14ac:dyDescent="0.25">
      <c r="A34" s="9"/>
      <c r="B34" s="20" t="s">
        <v>8</v>
      </c>
      <c r="C34" s="38">
        <f>C36+C48</f>
        <v>1481</v>
      </c>
      <c r="D34" s="38">
        <f>D36+D48</f>
        <v>1486</v>
      </c>
      <c r="E34" s="38">
        <f>E36+E48</f>
        <v>1476</v>
      </c>
      <c r="F34" s="38">
        <f>F36+F48</f>
        <v>1485</v>
      </c>
      <c r="G34" s="38">
        <f>G36+G48</f>
        <v>1492</v>
      </c>
      <c r="H34" s="38"/>
      <c r="I34" s="38">
        <f>I36+I48</f>
        <v>510</v>
      </c>
      <c r="J34" s="38">
        <f>J36+J48</f>
        <v>520</v>
      </c>
      <c r="K34" s="38">
        <f>K36+K48</f>
        <v>518</v>
      </c>
      <c r="L34" s="38">
        <f>L36+L48</f>
        <v>517</v>
      </c>
      <c r="M34" s="38">
        <f>M36+M48</f>
        <v>500</v>
      </c>
      <c r="N34" s="38"/>
      <c r="O34" s="38">
        <f>O36+O48</f>
        <v>2715</v>
      </c>
      <c r="P34" s="38">
        <f>P36+P48</f>
        <v>2613</v>
      </c>
      <c r="Q34" s="38">
        <f>Q36+Q48</f>
        <v>2771</v>
      </c>
      <c r="R34" s="38">
        <f>R36+R48</f>
        <v>2629</v>
      </c>
      <c r="S34" s="38">
        <f>S36+S48</f>
        <v>2668</v>
      </c>
    </row>
    <row r="35" spans="1:19" ht="4.5" customHeight="1" x14ac:dyDescent="0.25">
      <c r="A35" s="9"/>
      <c r="B35" s="22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</row>
    <row r="36" spans="1:19" ht="15" customHeight="1" x14ac:dyDescent="0.25">
      <c r="A36" s="9"/>
      <c r="B36" s="22" t="s">
        <v>10</v>
      </c>
      <c r="C36" s="40">
        <f>SUM(C38:C46)</f>
        <v>1439</v>
      </c>
      <c r="D36" s="40">
        <f>SUM(D38:D46)</f>
        <v>1444</v>
      </c>
      <c r="E36" s="40">
        <f>SUM(E38:E46)</f>
        <v>1432</v>
      </c>
      <c r="F36" s="40">
        <f>SUM(F38:F46)</f>
        <v>1441</v>
      </c>
      <c r="G36" s="40">
        <f>SUM(G38:G46)</f>
        <v>1448</v>
      </c>
      <c r="H36" s="40"/>
      <c r="I36" s="40">
        <f>SUM(I38:I46)</f>
        <v>484</v>
      </c>
      <c r="J36" s="40">
        <f>SUM(J38:J46)</f>
        <v>494</v>
      </c>
      <c r="K36" s="40">
        <f>SUM(K38:K46)</f>
        <v>492</v>
      </c>
      <c r="L36" s="40">
        <f>SUM(L38:L46)</f>
        <v>491</v>
      </c>
      <c r="M36" s="40">
        <f>SUM(M38:M46)</f>
        <v>474</v>
      </c>
      <c r="N36" s="40"/>
      <c r="O36" s="40">
        <f>SUM(O38:O46)</f>
        <v>2670</v>
      </c>
      <c r="P36" s="40">
        <f>SUM(P38:P46)</f>
        <v>2568</v>
      </c>
      <c r="Q36" s="40">
        <f>SUM(Q38:Q46)</f>
        <v>2725</v>
      </c>
      <c r="R36" s="40">
        <f>SUM(R38:R46)</f>
        <v>2583</v>
      </c>
      <c r="S36" s="40">
        <f>SUM(S38:S46)</f>
        <v>2622</v>
      </c>
    </row>
    <row r="37" spans="1:19" ht="4.5" customHeight="1" x14ac:dyDescent="0.25">
      <c r="A37" s="9"/>
      <c r="B37" s="25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</row>
    <row r="38" spans="1:19" ht="15" customHeight="1" x14ac:dyDescent="0.25">
      <c r="A38" s="9"/>
      <c r="B38" s="25" t="s">
        <v>11</v>
      </c>
      <c r="C38" s="42">
        <v>271</v>
      </c>
      <c r="D38" s="42">
        <v>267</v>
      </c>
      <c r="E38" s="42">
        <v>267</v>
      </c>
      <c r="F38" s="42">
        <v>244</v>
      </c>
      <c r="G38" s="42">
        <v>237</v>
      </c>
      <c r="H38" s="42"/>
      <c r="I38" s="43">
        <v>82</v>
      </c>
      <c r="J38" s="43">
        <v>80</v>
      </c>
      <c r="K38" s="43">
        <v>80</v>
      </c>
      <c r="L38" s="43">
        <v>78</v>
      </c>
      <c r="M38" s="43">
        <v>75</v>
      </c>
      <c r="N38" s="42"/>
      <c r="O38" s="42">
        <v>515</v>
      </c>
      <c r="P38" s="42">
        <v>531</v>
      </c>
      <c r="Q38" s="42">
        <v>542</v>
      </c>
      <c r="R38" s="42">
        <v>502</v>
      </c>
      <c r="S38" s="42">
        <v>494</v>
      </c>
    </row>
    <row r="39" spans="1:19" ht="15" customHeight="1" x14ac:dyDescent="0.25">
      <c r="A39" s="9"/>
      <c r="B39" s="25" t="s">
        <v>12</v>
      </c>
      <c r="C39" s="42">
        <v>441</v>
      </c>
      <c r="D39" s="42">
        <v>463</v>
      </c>
      <c r="E39" s="42">
        <v>449</v>
      </c>
      <c r="F39" s="42">
        <v>456</v>
      </c>
      <c r="G39" s="42">
        <v>475</v>
      </c>
      <c r="H39" s="42"/>
      <c r="I39" s="43">
        <v>146</v>
      </c>
      <c r="J39" s="43">
        <v>136</v>
      </c>
      <c r="K39" s="43">
        <v>137</v>
      </c>
      <c r="L39" s="43">
        <v>136</v>
      </c>
      <c r="M39" s="43">
        <v>122</v>
      </c>
      <c r="N39" s="42"/>
      <c r="O39" s="42">
        <v>1025</v>
      </c>
      <c r="P39" s="42">
        <v>958</v>
      </c>
      <c r="Q39" s="42">
        <v>1023</v>
      </c>
      <c r="R39" s="42">
        <v>978</v>
      </c>
      <c r="S39" s="42">
        <v>985</v>
      </c>
    </row>
    <row r="40" spans="1:19" ht="15" customHeight="1" x14ac:dyDescent="0.25">
      <c r="A40" s="9"/>
      <c r="B40" s="25" t="s">
        <v>13</v>
      </c>
      <c r="C40" s="42">
        <v>518</v>
      </c>
      <c r="D40" s="42">
        <v>497</v>
      </c>
      <c r="E40" s="42">
        <v>506</v>
      </c>
      <c r="F40" s="42">
        <v>527</v>
      </c>
      <c r="G40" s="42">
        <v>523</v>
      </c>
      <c r="H40" s="42"/>
      <c r="I40" s="43">
        <v>189</v>
      </c>
      <c r="J40" s="43">
        <v>210</v>
      </c>
      <c r="K40" s="43">
        <v>210</v>
      </c>
      <c r="L40" s="43">
        <v>211</v>
      </c>
      <c r="M40" s="43">
        <v>209</v>
      </c>
      <c r="N40" s="42"/>
      <c r="O40" s="42">
        <v>928</v>
      </c>
      <c r="P40" s="42">
        <v>881</v>
      </c>
      <c r="Q40" s="42">
        <v>930</v>
      </c>
      <c r="R40" s="42">
        <v>913</v>
      </c>
      <c r="S40" s="42">
        <v>937</v>
      </c>
    </row>
    <row r="41" spans="1:19" ht="15" customHeight="1" x14ac:dyDescent="0.25">
      <c r="A41" s="9"/>
      <c r="B41" s="25" t="s">
        <v>14</v>
      </c>
      <c r="C41" s="42">
        <v>49</v>
      </c>
      <c r="D41" s="42">
        <v>58</v>
      </c>
      <c r="E41" s="42">
        <v>59</v>
      </c>
      <c r="F41" s="42">
        <v>69</v>
      </c>
      <c r="G41" s="42">
        <v>63</v>
      </c>
      <c r="H41" s="42"/>
      <c r="I41" s="43">
        <v>21</v>
      </c>
      <c r="J41" s="43">
        <v>21</v>
      </c>
      <c r="K41" s="43">
        <v>22</v>
      </c>
      <c r="L41" s="43">
        <v>22</v>
      </c>
      <c r="M41" s="43">
        <v>21</v>
      </c>
      <c r="N41" s="42"/>
      <c r="O41" s="42">
        <v>50</v>
      </c>
      <c r="P41" s="42">
        <v>69</v>
      </c>
      <c r="Q41" s="42">
        <v>71</v>
      </c>
      <c r="R41" s="42">
        <v>54</v>
      </c>
      <c r="S41" s="42">
        <v>51</v>
      </c>
    </row>
    <row r="42" spans="1:19" ht="15" customHeight="1" x14ac:dyDescent="0.25">
      <c r="A42" s="9"/>
      <c r="B42" s="25" t="s">
        <v>15</v>
      </c>
      <c r="C42" s="42">
        <v>19</v>
      </c>
      <c r="D42" s="42">
        <v>23</v>
      </c>
      <c r="E42" s="42">
        <v>18</v>
      </c>
      <c r="F42" s="42">
        <v>17</v>
      </c>
      <c r="G42" s="42">
        <v>16</v>
      </c>
      <c r="H42" s="42"/>
      <c r="I42" s="43">
        <v>2</v>
      </c>
      <c r="J42" s="43">
        <v>2</v>
      </c>
      <c r="K42" s="43">
        <v>2</v>
      </c>
      <c r="L42" s="43">
        <v>3</v>
      </c>
      <c r="M42" s="43">
        <v>2</v>
      </c>
      <c r="N42" s="42"/>
      <c r="O42" s="42">
        <v>20</v>
      </c>
      <c r="P42" s="42">
        <v>19</v>
      </c>
      <c r="Q42" s="42">
        <v>20</v>
      </c>
      <c r="R42" s="42">
        <v>20</v>
      </c>
      <c r="S42" s="42">
        <v>28</v>
      </c>
    </row>
    <row r="43" spans="1:19" ht="15" customHeight="1" x14ac:dyDescent="0.25">
      <c r="A43" s="9"/>
      <c r="B43" s="25" t="s">
        <v>16</v>
      </c>
      <c r="C43" s="42">
        <v>26</v>
      </c>
      <c r="D43" s="42">
        <v>26</v>
      </c>
      <c r="E43" s="42">
        <v>22</v>
      </c>
      <c r="F43" s="42">
        <v>24</v>
      </c>
      <c r="G43" s="42">
        <v>25</v>
      </c>
      <c r="H43" s="42"/>
      <c r="I43" s="44" t="s">
        <v>18</v>
      </c>
      <c r="J43" s="44" t="s">
        <v>18</v>
      </c>
      <c r="K43" s="44" t="s">
        <v>18</v>
      </c>
      <c r="L43" s="44" t="s">
        <v>18</v>
      </c>
      <c r="M43" s="44" t="s">
        <v>18</v>
      </c>
      <c r="N43" s="42"/>
      <c r="O43" s="42">
        <v>27</v>
      </c>
      <c r="P43" s="42">
        <v>19</v>
      </c>
      <c r="Q43" s="42">
        <v>33</v>
      </c>
      <c r="R43" s="42">
        <v>19</v>
      </c>
      <c r="S43" s="42">
        <v>38</v>
      </c>
    </row>
    <row r="44" spans="1:19" ht="15" customHeight="1" x14ac:dyDescent="0.25">
      <c r="A44" s="9"/>
      <c r="B44" s="25" t="s">
        <v>17</v>
      </c>
      <c r="C44" s="42">
        <v>78</v>
      </c>
      <c r="D44" s="42">
        <v>75</v>
      </c>
      <c r="E44" s="42">
        <v>80</v>
      </c>
      <c r="F44" s="42">
        <v>77</v>
      </c>
      <c r="G44" s="42">
        <v>79</v>
      </c>
      <c r="H44" s="42"/>
      <c r="I44" s="43">
        <v>34</v>
      </c>
      <c r="J44" s="43">
        <v>35</v>
      </c>
      <c r="K44" s="43">
        <v>31</v>
      </c>
      <c r="L44" s="43">
        <v>31</v>
      </c>
      <c r="M44" s="43">
        <v>35</v>
      </c>
      <c r="N44" s="42"/>
      <c r="O44" s="42">
        <v>76</v>
      </c>
      <c r="P44" s="42">
        <v>70</v>
      </c>
      <c r="Q44" s="42">
        <v>76</v>
      </c>
      <c r="R44" s="42">
        <v>79</v>
      </c>
      <c r="S44" s="42">
        <v>69</v>
      </c>
    </row>
    <row r="45" spans="1:19" ht="15" customHeight="1" x14ac:dyDescent="0.25">
      <c r="A45" s="9"/>
      <c r="B45" s="25" t="s">
        <v>19</v>
      </c>
      <c r="C45" s="44" t="s">
        <v>18</v>
      </c>
      <c r="D45" s="44" t="s">
        <v>18</v>
      </c>
      <c r="E45" s="44" t="s">
        <v>18</v>
      </c>
      <c r="F45" s="44" t="s">
        <v>18</v>
      </c>
      <c r="G45" s="44" t="s">
        <v>18</v>
      </c>
      <c r="H45" s="44"/>
      <c r="I45" s="44" t="s">
        <v>18</v>
      </c>
      <c r="J45" s="44" t="s">
        <v>18</v>
      </c>
      <c r="K45" s="44" t="s">
        <v>18</v>
      </c>
      <c r="L45" s="44" t="s">
        <v>18</v>
      </c>
      <c r="M45" s="44" t="s">
        <v>18</v>
      </c>
      <c r="N45" s="44"/>
      <c r="O45" s="44" t="s">
        <v>18</v>
      </c>
      <c r="P45" s="44" t="s">
        <v>18</v>
      </c>
      <c r="Q45" s="44" t="s">
        <v>18</v>
      </c>
      <c r="R45" s="44" t="s">
        <v>18</v>
      </c>
      <c r="S45" s="44" t="s">
        <v>18</v>
      </c>
    </row>
    <row r="46" spans="1:19" ht="15" customHeight="1" x14ac:dyDescent="0.25">
      <c r="A46" s="9"/>
      <c r="B46" s="32" t="s">
        <v>20</v>
      </c>
      <c r="C46" s="42">
        <v>37</v>
      </c>
      <c r="D46" s="42">
        <v>35</v>
      </c>
      <c r="E46" s="42">
        <v>31</v>
      </c>
      <c r="F46" s="42">
        <v>27</v>
      </c>
      <c r="G46" s="42">
        <v>30</v>
      </c>
      <c r="H46" s="42"/>
      <c r="I46" s="43">
        <v>10</v>
      </c>
      <c r="J46" s="43">
        <v>10</v>
      </c>
      <c r="K46" s="43">
        <v>10</v>
      </c>
      <c r="L46" s="43">
        <v>10</v>
      </c>
      <c r="M46" s="43">
        <v>10</v>
      </c>
      <c r="N46" s="42"/>
      <c r="O46" s="42">
        <v>29</v>
      </c>
      <c r="P46" s="42">
        <v>21</v>
      </c>
      <c r="Q46" s="42">
        <v>30</v>
      </c>
      <c r="R46" s="42">
        <v>18</v>
      </c>
      <c r="S46" s="42">
        <v>20</v>
      </c>
    </row>
    <row r="47" spans="1:19" ht="9" customHeight="1" x14ac:dyDescent="0.25">
      <c r="A47" s="9"/>
      <c r="B47" s="25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</row>
    <row r="48" spans="1:19" ht="15" customHeight="1" x14ac:dyDescent="0.25">
      <c r="A48" s="9"/>
      <c r="B48" s="22" t="s">
        <v>21</v>
      </c>
      <c r="C48" s="40">
        <f>C50</f>
        <v>42</v>
      </c>
      <c r="D48" s="40">
        <f>D50</f>
        <v>42</v>
      </c>
      <c r="E48" s="24">
        <f>E50+E51</f>
        <v>44</v>
      </c>
      <c r="F48" s="24">
        <f>F50+F51</f>
        <v>44</v>
      </c>
      <c r="G48" s="24">
        <f>G50+G51</f>
        <v>44</v>
      </c>
      <c r="H48" s="40"/>
      <c r="I48" s="40">
        <f>I50</f>
        <v>26</v>
      </c>
      <c r="J48" s="40">
        <f>J50</f>
        <v>26</v>
      </c>
      <c r="K48" s="24">
        <f>K50</f>
        <v>26</v>
      </c>
      <c r="L48" s="24">
        <f>L50</f>
        <v>26</v>
      </c>
      <c r="M48" s="24">
        <f>M50</f>
        <v>26</v>
      </c>
      <c r="N48" s="40"/>
      <c r="O48" s="40">
        <f>O50</f>
        <v>45</v>
      </c>
      <c r="P48" s="40">
        <f>P50</f>
        <v>45</v>
      </c>
      <c r="Q48" s="24">
        <f>Q50+Q51</f>
        <v>46</v>
      </c>
      <c r="R48" s="24">
        <f>R50+R51</f>
        <v>46</v>
      </c>
      <c r="S48" s="24">
        <f>S50+S51</f>
        <v>46</v>
      </c>
    </row>
    <row r="49" spans="1:19" ht="9" customHeight="1" x14ac:dyDescent="0.25">
      <c r="A49" s="9"/>
      <c r="B49" s="25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</row>
    <row r="50" spans="1:19" ht="15" customHeight="1" x14ac:dyDescent="0.25">
      <c r="A50" s="9"/>
      <c r="B50" s="25" t="s">
        <v>22</v>
      </c>
      <c r="C50" s="44">
        <v>42</v>
      </c>
      <c r="D50" s="44">
        <v>42</v>
      </c>
      <c r="E50" s="44">
        <v>42</v>
      </c>
      <c r="F50" s="44">
        <v>42</v>
      </c>
      <c r="G50" s="44">
        <v>42</v>
      </c>
      <c r="H50" s="42"/>
      <c r="I50" s="43">
        <v>26</v>
      </c>
      <c r="J50" s="43">
        <v>26</v>
      </c>
      <c r="K50" s="43">
        <v>26</v>
      </c>
      <c r="L50" s="43">
        <v>26</v>
      </c>
      <c r="M50" s="43">
        <v>26</v>
      </c>
      <c r="N50" s="44"/>
      <c r="O50" s="42">
        <v>45</v>
      </c>
      <c r="P50" s="42">
        <v>45</v>
      </c>
      <c r="Q50" s="42">
        <v>45</v>
      </c>
      <c r="R50" s="42">
        <v>45</v>
      </c>
      <c r="S50" s="42">
        <v>45</v>
      </c>
    </row>
    <row r="51" spans="1:19" ht="15" customHeight="1" x14ac:dyDescent="0.25">
      <c r="A51" s="9"/>
      <c r="B51" s="25" t="s">
        <v>23</v>
      </c>
      <c r="C51" s="44" t="s">
        <v>18</v>
      </c>
      <c r="D51" s="44" t="s">
        <v>18</v>
      </c>
      <c r="E51" s="44">
        <v>2</v>
      </c>
      <c r="F51" s="44">
        <v>2</v>
      </c>
      <c r="G51" s="44">
        <v>2</v>
      </c>
      <c r="H51" s="42"/>
      <c r="I51" s="44" t="s">
        <v>18</v>
      </c>
      <c r="J51" s="44" t="s">
        <v>18</v>
      </c>
      <c r="K51" s="44" t="s">
        <v>18</v>
      </c>
      <c r="L51" s="44" t="s">
        <v>18</v>
      </c>
      <c r="M51" s="44" t="s">
        <v>18</v>
      </c>
      <c r="N51" s="44"/>
      <c r="O51" s="44" t="s">
        <v>18</v>
      </c>
      <c r="P51" s="44" t="s">
        <v>18</v>
      </c>
      <c r="Q51" s="42">
        <v>1</v>
      </c>
      <c r="R51" s="42">
        <v>1</v>
      </c>
      <c r="S51" s="42">
        <v>1</v>
      </c>
    </row>
    <row r="52" spans="1:19" ht="6" customHeight="1" x14ac:dyDescent="0.25">
      <c r="A52" s="9"/>
      <c r="B52" s="33"/>
      <c r="C52" s="34"/>
      <c r="D52" s="34"/>
      <c r="E52" s="34"/>
      <c r="F52" s="45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</row>
    <row r="53" spans="1:19" ht="12.75" customHeight="1" x14ac:dyDescent="0.25">
      <c r="A53" s="9"/>
      <c r="B53" s="46" t="s">
        <v>26</v>
      </c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9"/>
      <c r="P53" s="9"/>
      <c r="Q53" s="9"/>
      <c r="R53" s="9"/>
      <c r="S53" s="9"/>
    </row>
    <row r="54" spans="1:19" ht="1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4"/>
      <c r="K54" s="6"/>
      <c r="L54" s="7"/>
      <c r="M54" s="4"/>
      <c r="N54" s="5"/>
      <c r="O54" s="5"/>
    </row>
    <row r="55" spans="1:19" ht="9" customHeight="1" x14ac:dyDescent="0.2">
      <c r="A55" s="1"/>
      <c r="B55" s="1"/>
      <c r="C55" s="1"/>
      <c r="D55" s="1"/>
      <c r="E55" s="1"/>
      <c r="F55" s="1"/>
      <c r="G55" s="1"/>
      <c r="H55" s="1"/>
      <c r="I55" s="1"/>
      <c r="J55" s="5"/>
      <c r="K55" s="4"/>
      <c r="L55" s="7"/>
      <c r="M55" s="5"/>
      <c r="N55" s="5"/>
      <c r="O55" s="5"/>
    </row>
    <row r="56" spans="1:19" ht="1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5"/>
      <c r="K56" s="6" t="s">
        <v>1</v>
      </c>
      <c r="L56" s="7">
        <v>6787</v>
      </c>
      <c r="M56" s="5"/>
      <c r="N56" s="5"/>
      <c r="O56" s="5"/>
    </row>
    <row r="57" spans="1:19" ht="1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5"/>
      <c r="K57" s="6" t="s">
        <v>2</v>
      </c>
      <c r="L57" s="7">
        <v>4155</v>
      </c>
      <c r="M57" s="5"/>
      <c r="N57" s="5"/>
      <c r="O57" s="5"/>
    </row>
    <row r="58" spans="1:19" ht="6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5"/>
      <c r="K58" s="6" t="s">
        <v>3</v>
      </c>
      <c r="L58" s="7">
        <v>2668</v>
      </c>
      <c r="M58" s="5"/>
      <c r="N58" s="5"/>
      <c r="O58" s="5"/>
    </row>
    <row r="59" spans="1:19" ht="12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5"/>
      <c r="K59" s="6" t="s">
        <v>4</v>
      </c>
      <c r="L59" s="7">
        <v>1492</v>
      </c>
      <c r="M59" s="5"/>
      <c r="N59" s="5"/>
      <c r="O59" s="5"/>
    </row>
    <row r="60" spans="1:19" ht="13.5" x14ac:dyDescent="0.25">
      <c r="A60" s="1"/>
      <c r="B60" s="1"/>
      <c r="C60" s="1"/>
      <c r="D60" s="1"/>
      <c r="E60" s="1"/>
      <c r="F60" s="1"/>
      <c r="G60" s="1"/>
      <c r="H60" s="1"/>
      <c r="I60" s="1"/>
      <c r="J60" s="5"/>
      <c r="K60" s="6" t="s">
        <v>5</v>
      </c>
      <c r="L60" s="7">
        <v>500</v>
      </c>
      <c r="M60" s="5"/>
      <c r="N60" s="5"/>
      <c r="O60" s="5"/>
    </row>
    <row r="61" spans="1:19" x14ac:dyDescent="0.2">
      <c r="A61" s="1"/>
      <c r="B61" s="1"/>
      <c r="C61" s="1"/>
      <c r="D61" s="1"/>
      <c r="E61" s="1"/>
      <c r="F61" s="1"/>
      <c r="G61" s="1"/>
      <c r="H61" s="1"/>
      <c r="I61" s="1"/>
      <c r="J61" s="5"/>
      <c r="K61" s="4"/>
      <c r="L61" s="4"/>
      <c r="M61" s="5"/>
      <c r="N61" s="5"/>
      <c r="O61" s="5"/>
    </row>
    <row r="62" spans="1:19" x14ac:dyDescent="0.2">
      <c r="A62" s="1"/>
      <c r="B62" s="1"/>
      <c r="C62" s="1"/>
      <c r="D62" s="1"/>
      <c r="E62" s="1"/>
      <c r="F62" s="1"/>
      <c r="G62" s="1"/>
      <c r="H62" s="1"/>
      <c r="I62" s="1"/>
      <c r="J62" s="5"/>
      <c r="K62" s="4"/>
      <c r="L62" s="49"/>
      <c r="M62" s="5"/>
      <c r="N62" s="5"/>
      <c r="O62" s="5"/>
    </row>
    <row r="63" spans="1:19" x14ac:dyDescent="0.2">
      <c r="A63" s="1"/>
      <c r="B63" s="1"/>
      <c r="C63" s="1"/>
      <c r="D63" s="1"/>
      <c r="E63" s="1"/>
      <c r="F63" s="1"/>
      <c r="G63" s="1"/>
      <c r="H63" s="1"/>
      <c r="I63" s="1"/>
      <c r="J63" s="5"/>
      <c r="K63" s="5"/>
      <c r="L63" s="47"/>
      <c r="M63" s="5"/>
      <c r="N63" s="5"/>
      <c r="O63" s="5"/>
    </row>
    <row r="64" spans="1:19" x14ac:dyDescent="0.2">
      <c r="A64" s="1"/>
      <c r="B64" s="1"/>
      <c r="C64" s="1"/>
      <c r="D64" s="1"/>
      <c r="E64" s="1"/>
      <c r="F64" s="1"/>
      <c r="G64" s="1"/>
      <c r="H64" s="1"/>
      <c r="I64" s="1"/>
      <c r="J64" s="5"/>
      <c r="K64" s="5"/>
      <c r="L64" s="5"/>
      <c r="M64" s="5"/>
      <c r="N64" s="5"/>
      <c r="O64" s="5"/>
    </row>
    <row r="65" spans="1:15" x14ac:dyDescent="0.2">
      <c r="A65" s="1"/>
      <c r="B65" s="1"/>
      <c r="C65" s="1"/>
      <c r="D65" s="1"/>
      <c r="E65" s="1"/>
      <c r="F65" s="1"/>
      <c r="G65" s="1"/>
      <c r="H65" s="1"/>
      <c r="I65" s="1"/>
      <c r="J65" s="5"/>
      <c r="K65" s="5"/>
      <c r="L65" s="5"/>
      <c r="M65" s="5"/>
      <c r="N65" s="5"/>
      <c r="O65" s="5"/>
    </row>
    <row r="66" spans="1:15" x14ac:dyDescent="0.2">
      <c r="A66" s="1"/>
      <c r="B66" s="1"/>
      <c r="C66" s="1"/>
      <c r="D66" s="1"/>
      <c r="E66" s="1"/>
      <c r="F66" s="1"/>
      <c r="G66" s="1"/>
      <c r="H66" s="1"/>
      <c r="I66" s="1"/>
      <c r="J66" s="5"/>
      <c r="K66" s="5"/>
      <c r="L66" s="5"/>
      <c r="M66" s="5"/>
      <c r="N66" s="5"/>
      <c r="O66" s="5"/>
    </row>
    <row r="67" spans="1:15" x14ac:dyDescent="0.2">
      <c r="A67" s="1"/>
      <c r="B67" s="1"/>
      <c r="C67" s="1"/>
      <c r="D67" s="1"/>
      <c r="E67" s="1"/>
      <c r="F67" s="1"/>
      <c r="G67" s="1"/>
      <c r="H67" s="1"/>
      <c r="I67" s="1"/>
      <c r="J67" s="5"/>
      <c r="K67" s="5"/>
      <c r="L67" s="5"/>
      <c r="M67" s="5"/>
      <c r="N67" s="5"/>
      <c r="O67" s="5"/>
    </row>
    <row r="68" spans="1:15" x14ac:dyDescent="0.2">
      <c r="A68" s="1"/>
      <c r="B68" s="1"/>
      <c r="C68" s="1"/>
      <c r="D68" s="1"/>
      <c r="E68" s="1"/>
      <c r="F68" s="1"/>
      <c r="G68" s="1"/>
      <c r="H68" s="1"/>
      <c r="I68" s="1"/>
      <c r="J68" s="5"/>
      <c r="K68" s="5"/>
      <c r="L68" s="5"/>
      <c r="M68" s="5"/>
      <c r="N68" s="5"/>
      <c r="O68" s="5"/>
    </row>
    <row r="69" spans="1:15" x14ac:dyDescent="0.2">
      <c r="A69" s="1"/>
      <c r="B69" s="1"/>
      <c r="C69" s="1"/>
      <c r="D69" s="1"/>
      <c r="E69" s="1"/>
      <c r="F69" s="1"/>
      <c r="G69" s="1"/>
      <c r="H69" s="1"/>
      <c r="I69" s="1"/>
      <c r="J69" s="5"/>
      <c r="K69" s="5"/>
      <c r="L69" s="5"/>
      <c r="M69" s="5"/>
      <c r="N69" s="5"/>
      <c r="O69" s="5"/>
    </row>
    <row r="70" spans="1:15" x14ac:dyDescent="0.2">
      <c r="A70" s="1"/>
      <c r="B70" s="1"/>
      <c r="C70" s="1"/>
      <c r="D70" s="1"/>
      <c r="E70" s="1"/>
      <c r="F70" s="1"/>
      <c r="G70" s="1"/>
      <c r="H70" s="1"/>
      <c r="I70" s="1"/>
      <c r="J70" s="5"/>
      <c r="K70" s="5"/>
      <c r="L70" s="5"/>
      <c r="M70" s="5"/>
      <c r="N70" s="5"/>
      <c r="O70" s="5"/>
    </row>
    <row r="71" spans="1:15" x14ac:dyDescent="0.2">
      <c r="A71" s="1"/>
      <c r="B71" s="1"/>
      <c r="C71" s="1"/>
      <c r="D71" s="1"/>
      <c r="E71" s="1"/>
      <c r="F71" s="1"/>
      <c r="G71" s="1"/>
      <c r="H71" s="1"/>
      <c r="I71" s="1"/>
      <c r="J71" s="5"/>
      <c r="K71" s="5"/>
      <c r="L71" s="5"/>
      <c r="M71" s="5"/>
      <c r="N71" s="5"/>
      <c r="O71" s="5"/>
    </row>
    <row r="72" spans="1:15" x14ac:dyDescent="0.2">
      <c r="A72" s="1"/>
      <c r="B72" s="1"/>
      <c r="C72" s="1"/>
      <c r="D72" s="1"/>
      <c r="E72" s="1"/>
      <c r="F72" s="1"/>
      <c r="G72" s="1"/>
      <c r="H72" s="1"/>
      <c r="I72" s="1"/>
      <c r="J72" s="5"/>
      <c r="K72" s="5"/>
      <c r="L72" s="5"/>
      <c r="M72" s="5"/>
      <c r="N72" s="5"/>
      <c r="O72" s="5"/>
    </row>
    <row r="73" spans="1:15" ht="11.25" customHeight="1" x14ac:dyDescent="0.2">
      <c r="A73" s="1"/>
      <c r="B73" s="1"/>
      <c r="C73" s="1"/>
      <c r="D73" s="1"/>
      <c r="E73" s="1"/>
      <c r="F73" s="1"/>
      <c r="G73" s="1"/>
      <c r="H73" s="1"/>
      <c r="I73" s="1"/>
      <c r="J73" s="5"/>
      <c r="K73" s="5"/>
      <c r="L73" s="5"/>
      <c r="M73" s="5"/>
      <c r="N73" s="5"/>
      <c r="O73" s="5"/>
    </row>
    <row r="74" spans="1:15" ht="12" customHeight="1" x14ac:dyDescent="0.2">
      <c r="A74" s="1"/>
      <c r="B74" s="1"/>
      <c r="C74" s="1"/>
      <c r="D74" s="1"/>
      <c r="E74" s="1"/>
      <c r="F74" s="1"/>
      <c r="G74" s="1"/>
      <c r="H74" s="1"/>
      <c r="I74" s="1"/>
      <c r="J74" s="5"/>
      <c r="K74" s="4"/>
      <c r="L74" s="4"/>
      <c r="M74" s="4"/>
      <c r="N74" s="5"/>
      <c r="O74" s="5"/>
    </row>
    <row r="75" spans="1:15" ht="9" customHeight="1" x14ac:dyDescent="0.2">
      <c r="A75" s="1"/>
      <c r="B75" s="1"/>
      <c r="C75" s="1"/>
      <c r="D75" s="1"/>
      <c r="E75" s="1"/>
      <c r="F75" s="1"/>
      <c r="G75" s="1"/>
      <c r="H75" s="1"/>
      <c r="I75" s="1"/>
      <c r="J75" s="5"/>
      <c r="K75" s="4"/>
      <c r="L75" s="8">
        <v>2386</v>
      </c>
      <c r="M75" s="4"/>
      <c r="N75" s="5"/>
      <c r="O75" s="5"/>
    </row>
  </sheetData>
  <mergeCells count="6">
    <mergeCell ref="C4:G4"/>
    <mergeCell ref="I4:M4"/>
    <mergeCell ref="O4:S4"/>
    <mergeCell ref="C31:G31"/>
    <mergeCell ref="I31:M31"/>
    <mergeCell ref="O31:S31"/>
  </mergeCells>
  <phoneticPr fontId="0" type="noConversion"/>
  <printOptions horizontalCentered="1"/>
  <pageMargins left="0.78740157480314965" right="0.59055118110236227" top="0.78740157480314965" bottom="0.59055118110236227" header="0" footer="0"/>
  <pageSetup paperSize="9" orientation="portrait" horizontalDpi="120" verticalDpi="144" r:id="rId1"/>
  <headerFooter alignWithMargins="0"/>
  <ignoredErrors>
    <ignoredError sqref="Q21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5,2</vt:lpstr>
      <vt:lpstr>'5,2'!Área_de_impresión</vt:lpstr>
    </vt:vector>
  </TitlesOfParts>
  <Company>CIDEP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INEI</dc:creator>
  <cp:lastModifiedBy>LUIS CANO</cp:lastModifiedBy>
  <cp:lastPrinted>2014-10-02T21:32:39Z</cp:lastPrinted>
  <dcterms:created xsi:type="dcterms:W3CDTF">1999-05-31T23:40:41Z</dcterms:created>
  <dcterms:modified xsi:type="dcterms:W3CDTF">2023-01-18T15:06:24Z</dcterms:modified>
</cp:coreProperties>
</file>