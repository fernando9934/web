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5-Educación, Cultura y Esparcimiento\"/>
    </mc:Choice>
  </mc:AlternateContent>
  <bookViews>
    <workbookView xWindow="9525" yWindow="15" windowWidth="12210" windowHeight="7290"/>
  </bookViews>
  <sheets>
    <sheet name="5,1 A" sheetId="1" r:id="rId1"/>
  </sheets>
  <definedNames>
    <definedName name="_xlnm.Print_Area" localSheetId="0">'5,1 A'!$B$57:$H$104</definedName>
  </definedNames>
  <calcPr calcId="162913"/>
</workbook>
</file>

<file path=xl/calcChain.xml><?xml version="1.0" encoding="utf-8"?>
<calcChain xmlns="http://schemas.openxmlformats.org/spreadsheetml/2006/main">
  <c r="S51" i="1" l="1"/>
  <c r="R51" i="1"/>
  <c r="Q51" i="1"/>
  <c r="P51" i="1"/>
  <c r="O51" i="1"/>
  <c r="M51" i="1"/>
  <c r="L51" i="1"/>
  <c r="K51" i="1"/>
  <c r="J51" i="1"/>
  <c r="I51" i="1"/>
  <c r="G51" i="1"/>
  <c r="F51" i="1"/>
  <c r="E51" i="1"/>
  <c r="D51" i="1"/>
  <c r="C51" i="1"/>
  <c r="S39" i="1"/>
  <c r="S37" i="1" s="1"/>
  <c r="R39" i="1"/>
  <c r="Q39" i="1"/>
  <c r="P39" i="1"/>
  <c r="O39" i="1"/>
  <c r="M39" i="1"/>
  <c r="L39" i="1"/>
  <c r="K39" i="1"/>
  <c r="J39" i="1"/>
  <c r="I39" i="1"/>
  <c r="G39" i="1"/>
  <c r="F39" i="1"/>
  <c r="E39" i="1"/>
  <c r="D39" i="1"/>
  <c r="C39" i="1"/>
  <c r="G26" i="1"/>
  <c r="F26" i="1"/>
  <c r="E26" i="1"/>
  <c r="G25" i="1"/>
  <c r="F25" i="1"/>
  <c r="E25" i="1"/>
  <c r="D25" i="1"/>
  <c r="C25" i="1"/>
  <c r="G24" i="1"/>
  <c r="F24" i="1"/>
  <c r="E24" i="1"/>
  <c r="D24" i="1"/>
  <c r="S23" i="1"/>
  <c r="R23" i="1"/>
  <c r="Q23" i="1"/>
  <c r="P23" i="1"/>
  <c r="O23" i="1"/>
  <c r="M23" i="1"/>
  <c r="L23" i="1"/>
  <c r="K23" i="1"/>
  <c r="J23" i="1"/>
  <c r="I23" i="1"/>
  <c r="G22" i="1"/>
  <c r="F22" i="1"/>
  <c r="E22" i="1"/>
  <c r="D22" i="1"/>
  <c r="G21" i="1"/>
  <c r="F21" i="1"/>
  <c r="E21" i="1"/>
  <c r="D21" i="1"/>
  <c r="C21" i="1"/>
  <c r="G20" i="1"/>
  <c r="F20" i="1"/>
  <c r="E20" i="1"/>
  <c r="D20" i="1"/>
  <c r="C20" i="1"/>
  <c r="G19" i="1"/>
  <c r="F19" i="1"/>
  <c r="E19" i="1"/>
  <c r="D19" i="1"/>
  <c r="C19" i="1"/>
  <c r="G18" i="1"/>
  <c r="F18" i="1"/>
  <c r="E18" i="1"/>
  <c r="D18" i="1"/>
  <c r="C18" i="1"/>
  <c r="G17" i="1"/>
  <c r="F17" i="1"/>
  <c r="E17" i="1"/>
  <c r="D17" i="1"/>
  <c r="C17" i="1"/>
  <c r="G16" i="1"/>
  <c r="F16" i="1"/>
  <c r="E16" i="1"/>
  <c r="D16" i="1"/>
  <c r="C16" i="1"/>
  <c r="G15" i="1"/>
  <c r="F15" i="1"/>
  <c r="E15" i="1"/>
  <c r="D15" i="1"/>
  <c r="C15" i="1"/>
  <c r="G14" i="1"/>
  <c r="F14" i="1"/>
  <c r="E14" i="1"/>
  <c r="D14" i="1"/>
  <c r="C14" i="1"/>
  <c r="G13" i="1"/>
  <c r="F13" i="1"/>
  <c r="E13" i="1"/>
  <c r="D13" i="1"/>
  <c r="C13" i="1"/>
  <c r="G12" i="1"/>
  <c r="F12" i="1"/>
  <c r="E12" i="1"/>
  <c r="D12" i="1"/>
  <c r="S11" i="1"/>
  <c r="R11" i="1"/>
  <c r="Q11" i="1"/>
  <c r="P11" i="1"/>
  <c r="O11" i="1"/>
  <c r="N11" i="1"/>
  <c r="N9" i="1" s="1"/>
  <c r="M11" i="1"/>
  <c r="L11" i="1"/>
  <c r="K11" i="1"/>
  <c r="K9" i="1" s="1"/>
  <c r="J11" i="1"/>
  <c r="J9" i="1" s="1"/>
  <c r="I11" i="1"/>
  <c r="G10" i="1"/>
  <c r="F10" i="1"/>
  <c r="E10" i="1"/>
  <c r="D10" i="1"/>
  <c r="P9" i="1" l="1"/>
  <c r="F23" i="1"/>
  <c r="O9" i="1"/>
  <c r="E23" i="1"/>
  <c r="R9" i="1"/>
  <c r="S9" i="1"/>
  <c r="I37" i="1"/>
  <c r="K37" i="1"/>
  <c r="M9" i="1"/>
  <c r="J37" i="1"/>
  <c r="Q9" i="1"/>
  <c r="R37" i="1"/>
  <c r="D23" i="1"/>
  <c r="C23" i="1"/>
  <c r="L37" i="1"/>
  <c r="F11" i="1"/>
  <c r="D37" i="1"/>
  <c r="O37" i="1"/>
  <c r="M37" i="1"/>
  <c r="P37" i="1"/>
  <c r="G23" i="1"/>
  <c r="G37" i="1"/>
  <c r="Q37" i="1"/>
  <c r="C37" i="1"/>
  <c r="E37" i="1"/>
  <c r="F37" i="1"/>
  <c r="I9" i="1"/>
  <c r="C11" i="1"/>
  <c r="D11" i="1"/>
  <c r="E11" i="1"/>
  <c r="L9" i="1"/>
  <c r="G11" i="1"/>
  <c r="G9" i="1" l="1"/>
  <c r="E9" i="1"/>
  <c r="D9" i="1"/>
  <c r="F9" i="1"/>
  <c r="C9" i="1"/>
</calcChain>
</file>

<file path=xl/sharedStrings.xml><?xml version="1.0" encoding="utf-8"?>
<sst xmlns="http://schemas.openxmlformats.org/spreadsheetml/2006/main" count="94" uniqueCount="30">
  <si>
    <t xml:space="preserve">  </t>
  </si>
  <si>
    <t>Ica</t>
  </si>
  <si>
    <t>Chincha</t>
  </si>
  <si>
    <t>Pisco</t>
  </si>
  <si>
    <t>Nasca</t>
  </si>
  <si>
    <t>Palpa</t>
  </si>
  <si>
    <t>A. POBLACIÓN  ESCOLAR</t>
  </si>
  <si>
    <t xml:space="preserve">5.1 ICA: ALUMNOS MATRICULADOS EN EL SISTEMA EDUCATIVO POR PROVINCIA, SEGÚN NIVEL Y MODALIDAD, 2017 - 2021        </t>
  </si>
  <si>
    <t xml:space="preserve">Nivel  y </t>
  </si>
  <si>
    <t>Total</t>
  </si>
  <si>
    <t>Modalidad</t>
  </si>
  <si>
    <t>I   Escolarizado</t>
  </si>
  <si>
    <t>Educación Inicial</t>
  </si>
  <si>
    <t>Educación Primaria</t>
  </si>
  <si>
    <t>Educación Secundaria</t>
  </si>
  <si>
    <t>Educación Básica Alternativa</t>
  </si>
  <si>
    <t>Educación Básica Especial</t>
  </si>
  <si>
    <t>Educación Superior Pedagógico</t>
  </si>
  <si>
    <t>Educación Superior Tecnológico</t>
  </si>
  <si>
    <t xml:space="preserve">        -</t>
  </si>
  <si>
    <t>Educ. Sup. Formación Artística</t>
  </si>
  <si>
    <t>Educación Técnico Productivo</t>
  </si>
  <si>
    <t>II   No Escolarizado</t>
  </si>
  <si>
    <t>PRONOEI</t>
  </si>
  <si>
    <t>Especial</t>
  </si>
  <si>
    <t xml:space="preserve">     </t>
  </si>
  <si>
    <t xml:space="preserve">         -</t>
  </si>
  <si>
    <t>Fuente: Dirección Regional de Educación - Ica, Unidad de Estadística.</t>
  </si>
  <si>
    <t xml:space="preserve">   Continúa...</t>
  </si>
  <si>
    <t xml:space="preserve">            Conclusión.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</si>
</sst>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#\ ###"/>
  </numFmts>
  <fonts count="19" x14ac:knownFonts="1">
    <font>
      <sz val="10"/>
      <name val="Arial"/>
    </font>
    <font>
      <sz val="10"/>
      <name val="Arial Narrow"/>
      <family val="2"/>
    </font>
    <font>
      <sz val="10"/>
      <color indexed="10"/>
      <name val="Arial Narrow"/>
      <family val="2"/>
    </font>
    <font>
      <b/>
      <sz val="10"/>
      <color indexed="10"/>
      <name val="Arial Narrow"/>
      <family val="2"/>
    </font>
    <font>
      <sz val="10"/>
      <color theme="0"/>
      <name val="Arial Narrow"/>
      <family val="2"/>
    </font>
    <font>
      <sz val="10"/>
      <color rgb="FFFF0000"/>
      <name val="Arial Narrow"/>
      <family val="2"/>
    </font>
    <font>
      <sz val="8"/>
      <color theme="0"/>
      <name val="Arial Narrow"/>
      <family val="2"/>
    </font>
    <font>
      <b/>
      <sz val="11"/>
      <name val="Arial Narrow"/>
      <family val="2"/>
    </font>
    <font>
      <sz val="10"/>
      <color indexed="8"/>
      <name val="Arial Narrow"/>
      <family val="2"/>
    </font>
    <font>
      <b/>
      <sz val="9"/>
      <color indexed="8"/>
      <name val="Arial Narrow"/>
      <family val="2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sz val="8"/>
      <name val="Arial Narrow"/>
      <family val="2"/>
    </font>
    <font>
      <sz val="7"/>
      <color indexed="8"/>
      <name val="Arial Narrow"/>
      <family val="2"/>
    </font>
    <font>
      <b/>
      <sz val="7"/>
      <color indexed="8"/>
      <name val="Arial Narrow"/>
      <family val="2"/>
    </font>
    <font>
      <sz val="7.5"/>
      <color indexed="8"/>
      <name val="Arial Narrow"/>
      <family val="2"/>
    </font>
    <font>
      <u/>
      <sz val="8"/>
      <color theme="0"/>
      <name val="Arial Narrow"/>
      <family val="2"/>
    </font>
    <font>
      <sz val="10"/>
      <color theme="0"/>
      <name val="Arial"/>
      <family val="2"/>
    </font>
    <font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4" fillId="0" borderId="0" xfId="0" applyNumberFormat="1" applyFont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3" xfId="0" applyFont="1" applyBorder="1" applyAlignment="1">
      <alignment horizontal="right" vertical="center"/>
    </xf>
    <xf numFmtId="0" fontId="10" fillId="0" borderId="6" xfId="0" applyFont="1" applyBorder="1" applyAlignment="1">
      <alignment horizontal="right" vertical="center"/>
    </xf>
    <xf numFmtId="0" fontId="11" fillId="0" borderId="5" xfId="0" applyFont="1" applyBorder="1" applyAlignment="1">
      <alignment horizontal="centerContinuous"/>
    </xf>
    <xf numFmtId="0" fontId="12" fillId="0" borderId="0" xfId="0" applyFont="1"/>
    <xf numFmtId="0" fontId="11" fillId="0" borderId="0" xfId="0" applyFont="1" applyBorder="1" applyAlignment="1">
      <alignment horizontal="centerContinuous"/>
    </xf>
    <xf numFmtId="0" fontId="11" fillId="0" borderId="0" xfId="0" applyFont="1"/>
    <xf numFmtId="0" fontId="10" fillId="0" borderId="5" xfId="0" applyFont="1" applyBorder="1" applyAlignment="1">
      <alignment horizontal="left"/>
    </xf>
    <xf numFmtId="164" fontId="10" fillId="0" borderId="0" xfId="0" applyNumberFormat="1" applyFont="1" applyBorder="1" applyAlignment="1"/>
    <xf numFmtId="164" fontId="10" fillId="2" borderId="0" xfId="0" applyNumberFormat="1" applyFont="1" applyFill="1" applyBorder="1" applyAlignment="1"/>
    <xf numFmtId="0" fontId="10" fillId="0" borderId="5" xfId="0" applyFont="1" applyBorder="1" applyAlignment="1"/>
    <xf numFmtId="164" fontId="11" fillId="0" borderId="0" xfId="0" applyNumberFormat="1" applyFont="1" applyAlignment="1"/>
    <xf numFmtId="164" fontId="11" fillId="0" borderId="0" xfId="0" applyNumberFormat="1" applyFont="1" applyBorder="1" applyAlignment="1"/>
    <xf numFmtId="164" fontId="11" fillId="2" borderId="0" xfId="0" applyNumberFormat="1" applyFont="1" applyFill="1"/>
    <xf numFmtId="0" fontId="13" fillId="0" borderId="0" xfId="0" applyFont="1"/>
    <xf numFmtId="0" fontId="11" fillId="0" borderId="5" xfId="0" applyFont="1" applyBorder="1" applyAlignment="1"/>
    <xf numFmtId="164" fontId="11" fillId="2" borderId="0" xfId="0" applyNumberFormat="1" applyFont="1" applyFill="1" applyAlignment="1"/>
    <xf numFmtId="164" fontId="11" fillId="2" borderId="0" xfId="0" applyNumberFormat="1" applyFont="1" applyFill="1" applyBorder="1" applyAlignment="1"/>
    <xf numFmtId="164" fontId="11" fillId="2" borderId="0" xfId="0" quotePrefix="1" applyNumberFormat="1" applyFont="1" applyFill="1" applyAlignment="1">
      <alignment horizontal="right"/>
    </xf>
    <xf numFmtId="164" fontId="11" fillId="2" borderId="0" xfId="0" quotePrefix="1" applyNumberFormat="1" applyFont="1" applyFill="1" applyBorder="1" applyAlignment="1">
      <alignment horizontal="right"/>
    </xf>
    <xf numFmtId="164" fontId="11" fillId="2" borderId="0" xfId="0" quotePrefix="1" applyNumberFormat="1" applyFont="1" applyFill="1" applyBorder="1" applyAlignment="1">
      <alignment horizontal="left"/>
    </xf>
    <xf numFmtId="0" fontId="11" fillId="0" borderId="7" xfId="0" applyFont="1" applyBorder="1" applyAlignment="1"/>
    <xf numFmtId="0" fontId="11" fillId="0" borderId="6" xfId="0" applyFont="1" applyBorder="1" applyAlignment="1"/>
    <xf numFmtId="0" fontId="11" fillId="0" borderId="6" xfId="0" applyFont="1" applyBorder="1"/>
    <xf numFmtId="0" fontId="11" fillId="0" borderId="0" xfId="0" applyFont="1" applyBorder="1" applyAlignment="1"/>
    <xf numFmtId="0" fontId="14" fillId="0" borderId="0" xfId="0" applyFont="1" applyBorder="1" applyAlignment="1"/>
    <xf numFmtId="0" fontId="11" fillId="0" borderId="0" xfId="0" applyFont="1" applyAlignment="1"/>
    <xf numFmtId="0" fontId="9" fillId="0" borderId="0" xfId="0" applyFont="1" applyBorder="1" applyAlignment="1">
      <alignment horizontal="left"/>
    </xf>
    <xf numFmtId="0" fontId="10" fillId="0" borderId="0" xfId="0" applyFont="1" applyBorder="1" applyAlignment="1"/>
    <xf numFmtId="0" fontId="10" fillId="0" borderId="0" xfId="0" applyFont="1" applyBorder="1" applyAlignment="1">
      <alignment horizontal="left"/>
    </xf>
    <xf numFmtId="0" fontId="11" fillId="0" borderId="0" xfId="0" applyFont="1" applyBorder="1"/>
    <xf numFmtId="0" fontId="11" fillId="0" borderId="4" xfId="0" applyFont="1" applyBorder="1"/>
    <xf numFmtId="0" fontId="15" fillId="0" borderId="7" xfId="0" applyFont="1" applyBorder="1" applyAlignment="1"/>
    <xf numFmtId="0" fontId="13" fillId="0" borderId="6" xfId="0" applyFont="1" applyBorder="1"/>
    <xf numFmtId="0" fontId="8" fillId="0" borderId="6" xfId="0" applyFont="1" applyBorder="1"/>
    <xf numFmtId="0" fontId="13" fillId="0" borderId="0" xfId="0" applyFont="1" applyBorder="1"/>
    <xf numFmtId="0" fontId="16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9" fillId="0" borderId="0" xfId="0" applyFont="1" applyBorder="1" applyAlignment="1">
      <alignment horizontal="left"/>
    </xf>
    <xf numFmtId="0" fontId="17" fillId="0" borderId="0" xfId="0" applyFont="1"/>
    <xf numFmtId="0" fontId="1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latin typeface="Arial Narrow" panose="020B0606020202030204" pitchFamily="34" charset="0"/>
              </a:rPr>
              <a:t>ICA: ALUMNOS MATRICULADOS POR PROVINCIA, 2021 </a:t>
            </a:r>
          </a:p>
        </c:rich>
      </c:tx>
      <c:layout>
        <c:manualLayout>
          <c:xMode val="edge"/>
          <c:yMode val="edge"/>
          <c:x val="0.20659824418499412"/>
          <c:y val="2.247290517256771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38"/>
      <c:rotY val="20"/>
      <c:depthPercent val="100"/>
      <c:rAngAx val="1"/>
    </c:view3D>
    <c:floor>
      <c:thickness val="0"/>
      <c:spPr>
        <a:solidFill>
          <a:srgbClr val="FFFF0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5329705393908522E-3"/>
          <c:y val="0.20573707814082295"/>
          <c:w val="0.98493589802535386"/>
          <c:h val="0.65032054064108125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9198681556011093E-2"/>
                  <c:y val="-4.94689591888104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AA8-4073-8E14-223EA4441447}"/>
                </c:ext>
              </c:extLst>
            </c:dLbl>
            <c:dLbl>
              <c:idx val="1"/>
              <c:layout>
                <c:manualLayout>
                  <c:x val="2.3718736108619354E-2"/>
                  <c:y val="-3.6008127590446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AA8-4073-8E14-223EA4441447}"/>
                </c:ext>
              </c:extLst>
            </c:dLbl>
            <c:dLbl>
              <c:idx val="2"/>
              <c:layout>
                <c:manualLayout>
                  <c:x val="2.4472305391532223E-2"/>
                  <c:y val="-3.2648902530749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AA8-4073-8E14-223EA4441447}"/>
                </c:ext>
              </c:extLst>
            </c:dLbl>
            <c:dLbl>
              <c:idx val="3"/>
              <c:layout>
                <c:manualLayout>
                  <c:x val="1.8948450652707869E-2"/>
                  <c:y val="-3.45526691053383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AA8-4073-8E14-223EA4441447}"/>
                </c:ext>
              </c:extLst>
            </c:dLbl>
            <c:dLbl>
              <c:idx val="4"/>
              <c:layout>
                <c:manualLayout>
                  <c:x val="2.1020310314318055E-2"/>
                  <c:y val="-2.97054994109988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AA8-4073-8E14-223EA44414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'5,1 A'!$K$60:$K$64</c:f>
              <c:strCache>
                <c:ptCount val="5"/>
                <c:pt idx="0">
                  <c:v>Ica</c:v>
                </c:pt>
                <c:pt idx="1">
                  <c:v>Chincha</c:v>
                </c:pt>
                <c:pt idx="2">
                  <c:v>Pisco</c:v>
                </c:pt>
                <c:pt idx="3">
                  <c:v>Nasca</c:v>
                </c:pt>
                <c:pt idx="4">
                  <c:v>Palpa</c:v>
                </c:pt>
              </c:strCache>
            </c:strRef>
          </c:cat>
          <c:val>
            <c:numRef>
              <c:f>'5,1 A'!$L$60:$L$64</c:f>
              <c:numCache>
                <c:formatCode>###\ ###</c:formatCode>
                <c:ptCount val="5"/>
                <c:pt idx="0">
                  <c:v>116773</c:v>
                </c:pt>
                <c:pt idx="1">
                  <c:v>72216</c:v>
                </c:pt>
                <c:pt idx="2">
                  <c:v>47780</c:v>
                </c:pt>
                <c:pt idx="3">
                  <c:v>23322</c:v>
                </c:pt>
                <c:pt idx="4">
                  <c:v>5430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A8-4073-8E14-223EA4441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0405016"/>
        <c:axId val="252034120"/>
        <c:axId val="0"/>
      </c:bar3DChart>
      <c:catAx>
        <c:axId val="130405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Dirección Regional de Educación - Ica</a:t>
                </a:r>
              </a:p>
            </c:rich>
          </c:tx>
          <c:layout>
            <c:manualLayout>
              <c:xMode val="edge"/>
              <c:yMode val="edge"/>
              <c:x val="1.8651461670739434E-2"/>
              <c:y val="0.93116253325477161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2034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34120"/>
        <c:scaling>
          <c:orientation val="minMax"/>
        </c:scaling>
        <c:delete val="0"/>
        <c:axPos val="l"/>
        <c:numFmt formatCode="#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130405016"/>
        <c:crosses val="autoZero"/>
        <c:crossBetween val="between"/>
        <c:majorUnit val="3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19049</xdr:colOff>
      <xdr:row>10</xdr:row>
      <xdr:rowOff>19050</xdr:rowOff>
    </xdr:from>
    <xdr:to>
      <xdr:col>25</xdr:col>
      <xdr:colOff>495300</xdr:colOff>
      <xdr:row>27</xdr:row>
      <xdr:rowOff>114300</xdr:rowOff>
    </xdr:to>
    <xdr:graphicFrame macro="">
      <xdr:nvGraphicFramePr>
        <xdr:cNvPr id="1120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19050</xdr:colOff>
      <xdr:row>4</xdr:row>
      <xdr:rowOff>28575</xdr:rowOff>
    </xdr:from>
    <xdr:to>
      <xdr:col>21</xdr:col>
      <xdr:colOff>696047</xdr:colOff>
      <xdr:row>7</xdr:row>
      <xdr:rowOff>71175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647700"/>
          <a:ext cx="1438997" cy="576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16650</xdr:colOff>
      <xdr:row>4</xdr:row>
      <xdr:rowOff>26175</xdr:rowOff>
    </xdr:from>
    <xdr:to>
      <xdr:col>21</xdr:col>
      <xdr:colOff>704850</xdr:colOff>
      <xdr:row>7</xdr:row>
      <xdr:rowOff>68775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6175" y="645300"/>
          <a:ext cx="14502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66"/>
  <sheetViews>
    <sheetView showGridLines="0" tabSelected="1" zoomScaleNormal="100" workbookViewId="0">
      <selection activeCell="L66" sqref="L66"/>
    </sheetView>
  </sheetViews>
  <sheetFormatPr baseColWidth="10" defaultRowHeight="12.75" customHeight="1" x14ac:dyDescent="0.2"/>
  <cols>
    <col min="1" max="1" width="1.7109375" customWidth="1"/>
    <col min="2" max="2" width="20" customWidth="1"/>
    <col min="3" max="7" width="5.42578125" customWidth="1"/>
    <col min="8" max="8" width="1.7109375" customWidth="1"/>
    <col min="9" max="13" width="5.42578125" customWidth="1"/>
    <col min="14" max="14" width="1.7109375" customWidth="1"/>
    <col min="15" max="19" width="4.7109375" customWidth="1"/>
  </cols>
  <sheetData>
    <row r="1" spans="1:19" x14ac:dyDescent="0.2">
      <c r="A1" s="1" t="s">
        <v>0</v>
      </c>
      <c r="B1" s="1"/>
      <c r="C1" s="1"/>
      <c r="D1" s="1"/>
      <c r="E1" s="1"/>
      <c r="F1" s="1"/>
      <c r="G1" s="1"/>
      <c r="H1" s="1"/>
      <c r="I1" s="2"/>
      <c r="J1" s="3"/>
      <c r="K1" s="1"/>
      <c r="L1" s="1"/>
      <c r="M1" s="1"/>
      <c r="N1" s="1"/>
      <c r="O1" s="1"/>
    </row>
    <row r="2" spans="1:19" ht="16.5" x14ac:dyDescent="0.3">
      <c r="B2" s="8" t="s">
        <v>6</v>
      </c>
      <c r="P2" s="53">
        <v>2</v>
      </c>
    </row>
    <row r="3" spans="1:19" ht="6" customHeight="1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</row>
    <row r="4" spans="1:19" ht="13.5" customHeight="1" x14ac:dyDescent="0.25">
      <c r="A4" s="9"/>
      <c r="B4" s="52" t="s">
        <v>7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9"/>
    </row>
    <row r="5" spans="1:19" ht="6" customHeight="1" x14ac:dyDescent="0.2">
      <c r="A5" s="9"/>
      <c r="B5" s="10"/>
      <c r="C5" s="10"/>
      <c r="D5" s="10"/>
      <c r="E5" s="10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 ht="18" customHeight="1" x14ac:dyDescent="0.2">
      <c r="A6" s="9"/>
      <c r="B6" s="11" t="s">
        <v>8</v>
      </c>
      <c r="C6" s="50" t="s">
        <v>9</v>
      </c>
      <c r="D6" s="51"/>
      <c r="E6" s="51"/>
      <c r="F6" s="51"/>
      <c r="G6" s="51"/>
      <c r="H6" s="12"/>
      <c r="I6" s="51" t="s">
        <v>1</v>
      </c>
      <c r="J6" s="51"/>
      <c r="K6" s="51"/>
      <c r="L6" s="51"/>
      <c r="M6" s="51"/>
      <c r="N6" s="12"/>
      <c r="O6" s="51" t="s">
        <v>2</v>
      </c>
      <c r="P6" s="51"/>
      <c r="Q6" s="51"/>
      <c r="R6" s="51"/>
      <c r="S6" s="51"/>
    </row>
    <row r="7" spans="1:19" ht="18" customHeight="1" x14ac:dyDescent="0.2">
      <c r="A7" s="9"/>
      <c r="B7" s="13" t="s">
        <v>10</v>
      </c>
      <c r="C7" s="14">
        <v>2017</v>
      </c>
      <c r="D7" s="14">
        <v>2018</v>
      </c>
      <c r="E7" s="14">
        <v>2019</v>
      </c>
      <c r="F7" s="14">
        <v>2020</v>
      </c>
      <c r="G7" s="14">
        <v>2021</v>
      </c>
      <c r="H7" s="15"/>
      <c r="I7" s="14">
        <v>2017</v>
      </c>
      <c r="J7" s="14">
        <v>2018</v>
      </c>
      <c r="K7" s="14">
        <v>2019</v>
      </c>
      <c r="L7" s="14">
        <v>2020</v>
      </c>
      <c r="M7" s="14">
        <v>2021</v>
      </c>
      <c r="N7" s="15"/>
      <c r="O7" s="14">
        <v>2017</v>
      </c>
      <c r="P7" s="14">
        <v>2018</v>
      </c>
      <c r="Q7" s="14">
        <v>2019</v>
      </c>
      <c r="R7" s="14">
        <v>2020</v>
      </c>
      <c r="S7" s="14">
        <v>2021</v>
      </c>
    </row>
    <row r="8" spans="1:19" ht="6" customHeight="1" x14ac:dyDescent="0.25">
      <c r="A8" s="9"/>
      <c r="B8" s="16"/>
      <c r="C8" s="17"/>
      <c r="D8" s="18"/>
      <c r="E8" s="18"/>
      <c r="F8" s="18"/>
      <c r="G8" s="18"/>
      <c r="H8" s="18"/>
      <c r="I8" s="17"/>
      <c r="J8" s="17"/>
      <c r="K8" s="17"/>
      <c r="L8" s="17"/>
      <c r="M8" s="17"/>
      <c r="N8" s="17"/>
      <c r="O8" s="19"/>
      <c r="P8" s="19"/>
      <c r="Q8" s="19"/>
      <c r="R8" s="19"/>
      <c r="S8" s="9"/>
    </row>
    <row r="9" spans="1:19" ht="15" customHeight="1" x14ac:dyDescent="0.25">
      <c r="A9" s="9"/>
      <c r="B9" s="20" t="s">
        <v>9</v>
      </c>
      <c r="C9" s="21">
        <f>SUM(I9,O9,C37,I37,O37)</f>
        <v>248590</v>
      </c>
      <c r="D9" s="21">
        <f>SUM(J9,P9,D37,J37,P37)</f>
        <v>254018</v>
      </c>
      <c r="E9" s="21">
        <f>SUM(K9,Q9,E37,K37,Q37)</f>
        <v>263158</v>
      </c>
      <c r="F9" s="21">
        <f>SUM(L9,R9,F37,L37,R37)</f>
        <v>266472</v>
      </c>
      <c r="G9" s="21">
        <f>SUM(M9,S9,G37,M37,S37)</f>
        <v>266835</v>
      </c>
      <c r="H9" s="21"/>
      <c r="I9" s="22">
        <f t="shared" ref="I9:S9" si="0">I11+I23</f>
        <v>112507</v>
      </c>
      <c r="J9" s="22">
        <f t="shared" si="0"/>
        <v>115395</v>
      </c>
      <c r="K9" s="22">
        <f t="shared" si="0"/>
        <v>119041</v>
      </c>
      <c r="L9" s="22">
        <f t="shared" si="0"/>
        <v>117261</v>
      </c>
      <c r="M9" s="22">
        <f t="shared" si="0"/>
        <v>116773</v>
      </c>
      <c r="N9" s="22">
        <f t="shared" si="0"/>
        <v>0</v>
      </c>
      <c r="O9" s="22">
        <f t="shared" si="0"/>
        <v>68554</v>
      </c>
      <c r="P9" s="22">
        <f t="shared" si="0"/>
        <v>68936</v>
      </c>
      <c r="Q9" s="22">
        <f t="shared" si="0"/>
        <v>71106</v>
      </c>
      <c r="R9" s="22">
        <f t="shared" si="0"/>
        <v>73808</v>
      </c>
      <c r="S9" s="22">
        <f t="shared" si="0"/>
        <v>73530</v>
      </c>
    </row>
    <row r="10" spans="1:19" ht="4.5" customHeight="1" x14ac:dyDescent="0.25">
      <c r="A10" s="9"/>
      <c r="B10" s="23"/>
      <c r="C10" s="24"/>
      <c r="D10" s="25">
        <f t="shared" ref="D10:G25" si="1">SUM(J10,P10,D38,J38,P38)</f>
        <v>0</v>
      </c>
      <c r="E10" s="25">
        <f t="shared" si="1"/>
        <v>0</v>
      </c>
      <c r="F10" s="25">
        <f t="shared" si="1"/>
        <v>0</v>
      </c>
      <c r="G10" s="25">
        <f t="shared" si="1"/>
        <v>0</v>
      </c>
      <c r="H10" s="24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19"/>
    </row>
    <row r="11" spans="1:19" ht="15" customHeight="1" x14ac:dyDescent="0.25">
      <c r="A11" s="9"/>
      <c r="B11" s="23" t="s">
        <v>11</v>
      </c>
      <c r="C11" s="21">
        <f>SUM(I11,O11,C39,I39,O39)</f>
        <v>244071</v>
      </c>
      <c r="D11" s="21">
        <f t="shared" si="1"/>
        <v>249754</v>
      </c>
      <c r="E11" s="21">
        <f t="shared" si="1"/>
        <v>258507</v>
      </c>
      <c r="F11" s="21">
        <f t="shared" si="1"/>
        <v>261747</v>
      </c>
      <c r="G11" s="21">
        <f t="shared" si="1"/>
        <v>262155</v>
      </c>
      <c r="H11" s="21"/>
      <c r="I11" s="22">
        <f t="shared" ref="I11:S11" si="2">SUM(I13:I21)</f>
        <v>110412</v>
      </c>
      <c r="J11" s="22">
        <f t="shared" si="2"/>
        <v>113323</v>
      </c>
      <c r="K11" s="22">
        <f t="shared" si="2"/>
        <v>116919</v>
      </c>
      <c r="L11" s="22">
        <f t="shared" si="2"/>
        <v>114952</v>
      </c>
      <c r="M11" s="22">
        <f t="shared" si="2"/>
        <v>114484</v>
      </c>
      <c r="N11" s="22">
        <f t="shared" si="2"/>
        <v>0</v>
      </c>
      <c r="O11" s="22">
        <f t="shared" si="2"/>
        <v>67159</v>
      </c>
      <c r="P11" s="22">
        <f t="shared" si="2"/>
        <v>67629</v>
      </c>
      <c r="Q11" s="22">
        <f t="shared" si="2"/>
        <v>69686</v>
      </c>
      <c r="R11" s="22">
        <f t="shared" si="2"/>
        <v>72488</v>
      </c>
      <c r="S11" s="22">
        <f t="shared" si="2"/>
        <v>72216</v>
      </c>
    </row>
    <row r="12" spans="1:19" ht="4.5" customHeight="1" x14ac:dyDescent="0.25">
      <c r="A12" s="27"/>
      <c r="B12" s="28"/>
      <c r="C12" s="24"/>
      <c r="D12" s="25">
        <f t="shared" si="1"/>
        <v>0</v>
      </c>
      <c r="E12" s="25">
        <f t="shared" si="1"/>
        <v>0</v>
      </c>
      <c r="F12" s="25">
        <f t="shared" si="1"/>
        <v>0</v>
      </c>
      <c r="G12" s="25">
        <f t="shared" si="1"/>
        <v>0</v>
      </c>
      <c r="H12" s="24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</row>
    <row r="13" spans="1:19" ht="15" customHeight="1" x14ac:dyDescent="0.25">
      <c r="A13" s="9"/>
      <c r="B13" s="28" t="s">
        <v>12</v>
      </c>
      <c r="C13" s="25">
        <f t="shared" ref="C13:C21" si="3">SUM(I13,O13,C41,I41,O41)</f>
        <v>50269</v>
      </c>
      <c r="D13" s="25">
        <f t="shared" si="1"/>
        <v>51855</v>
      </c>
      <c r="E13" s="25">
        <f t="shared" si="1"/>
        <v>53662</v>
      </c>
      <c r="F13" s="25">
        <f t="shared" si="1"/>
        <v>52028</v>
      </c>
      <c r="G13" s="25">
        <f t="shared" si="1"/>
        <v>49634</v>
      </c>
      <c r="H13" s="25"/>
      <c r="I13" s="29">
        <v>21761</v>
      </c>
      <c r="J13" s="29">
        <v>22301</v>
      </c>
      <c r="K13" s="29">
        <v>23114</v>
      </c>
      <c r="L13" s="29">
        <v>22054</v>
      </c>
      <c r="M13" s="29">
        <v>20938</v>
      </c>
      <c r="N13" s="29"/>
      <c r="O13" s="26">
        <v>14344</v>
      </c>
      <c r="P13" s="26">
        <v>14858</v>
      </c>
      <c r="Q13" s="26">
        <v>15329</v>
      </c>
      <c r="R13" s="30">
        <v>15115</v>
      </c>
      <c r="S13" s="30">
        <v>14278</v>
      </c>
    </row>
    <row r="14" spans="1:19" ht="15" customHeight="1" x14ac:dyDescent="0.25">
      <c r="A14" s="9"/>
      <c r="B14" s="28" t="s">
        <v>13</v>
      </c>
      <c r="C14" s="25">
        <f t="shared" si="3"/>
        <v>96195</v>
      </c>
      <c r="D14" s="25">
        <f t="shared" si="1"/>
        <v>99565</v>
      </c>
      <c r="E14" s="25">
        <f t="shared" si="1"/>
        <v>105149</v>
      </c>
      <c r="F14" s="25">
        <f t="shared" si="1"/>
        <v>111403</v>
      </c>
      <c r="G14" s="25">
        <f t="shared" si="1"/>
        <v>109969</v>
      </c>
      <c r="H14" s="25"/>
      <c r="I14" s="29">
        <v>40947</v>
      </c>
      <c r="J14" s="29">
        <v>42331</v>
      </c>
      <c r="K14" s="29">
        <v>44647</v>
      </c>
      <c r="L14" s="29">
        <v>47502</v>
      </c>
      <c r="M14" s="29">
        <v>47075</v>
      </c>
      <c r="N14" s="29"/>
      <c r="O14" s="26">
        <v>28090</v>
      </c>
      <c r="P14" s="26">
        <v>28873</v>
      </c>
      <c r="Q14" s="26">
        <v>30350</v>
      </c>
      <c r="R14" s="19">
        <v>31957</v>
      </c>
      <c r="S14" s="19">
        <v>31223</v>
      </c>
    </row>
    <row r="15" spans="1:19" ht="15" customHeight="1" x14ac:dyDescent="0.25">
      <c r="A15" s="9"/>
      <c r="B15" s="28" t="s">
        <v>14</v>
      </c>
      <c r="C15" s="25">
        <f t="shared" si="3"/>
        <v>66400</v>
      </c>
      <c r="D15" s="25">
        <f t="shared" si="1"/>
        <v>67935</v>
      </c>
      <c r="E15" s="25">
        <f t="shared" si="1"/>
        <v>69735</v>
      </c>
      <c r="F15" s="25">
        <f t="shared" si="1"/>
        <v>73694</v>
      </c>
      <c r="G15" s="25">
        <f t="shared" si="1"/>
        <v>75774</v>
      </c>
      <c r="H15" s="25"/>
      <c r="I15" s="29">
        <v>29672</v>
      </c>
      <c r="J15" s="29">
        <v>30260</v>
      </c>
      <c r="K15" s="29">
        <v>31623</v>
      </c>
      <c r="L15" s="29">
        <v>32986</v>
      </c>
      <c r="M15" s="29">
        <v>32744</v>
      </c>
      <c r="N15" s="29"/>
      <c r="O15" s="26">
        <v>18174</v>
      </c>
      <c r="P15" s="26">
        <v>18670</v>
      </c>
      <c r="Q15" s="26">
        <v>18393</v>
      </c>
      <c r="R15" s="19">
        <v>20178</v>
      </c>
      <c r="S15" s="19">
        <v>21127</v>
      </c>
    </row>
    <row r="16" spans="1:19" ht="15" customHeight="1" x14ac:dyDescent="0.25">
      <c r="A16" s="9"/>
      <c r="B16" s="28" t="s">
        <v>15</v>
      </c>
      <c r="C16" s="25">
        <f t="shared" si="3"/>
        <v>6568</v>
      </c>
      <c r="D16" s="25">
        <f t="shared" si="1"/>
        <v>6156</v>
      </c>
      <c r="E16" s="25">
        <f t="shared" si="1"/>
        <v>6077</v>
      </c>
      <c r="F16" s="25">
        <f t="shared" si="1"/>
        <v>5206</v>
      </c>
      <c r="G16" s="25">
        <f t="shared" si="1"/>
        <v>5581</v>
      </c>
      <c r="H16" s="25"/>
      <c r="I16" s="31">
        <v>3092</v>
      </c>
      <c r="J16" s="31">
        <v>2677</v>
      </c>
      <c r="K16" s="31">
        <v>2735</v>
      </c>
      <c r="L16" s="31">
        <v>2311</v>
      </c>
      <c r="M16" s="31">
        <v>2577</v>
      </c>
      <c r="N16" s="31"/>
      <c r="O16" s="31">
        <v>1506</v>
      </c>
      <c r="P16" s="31">
        <v>1364</v>
      </c>
      <c r="Q16" s="31">
        <v>1443</v>
      </c>
      <c r="R16" s="19">
        <v>1035</v>
      </c>
      <c r="S16" s="19">
        <v>1249</v>
      </c>
    </row>
    <row r="17" spans="1:19" ht="15" customHeight="1" x14ac:dyDescent="0.25">
      <c r="A17" s="9"/>
      <c r="B17" s="28" t="s">
        <v>16</v>
      </c>
      <c r="C17" s="25">
        <f t="shared" si="3"/>
        <v>430</v>
      </c>
      <c r="D17" s="25">
        <f t="shared" si="1"/>
        <v>422</v>
      </c>
      <c r="E17" s="25">
        <f t="shared" si="1"/>
        <v>340</v>
      </c>
      <c r="F17" s="25">
        <f t="shared" si="1"/>
        <v>375</v>
      </c>
      <c r="G17" s="25">
        <f t="shared" si="1"/>
        <v>303</v>
      </c>
      <c r="H17" s="25"/>
      <c r="I17" s="29">
        <v>118</v>
      </c>
      <c r="J17" s="29">
        <v>121</v>
      </c>
      <c r="K17" s="29">
        <v>97</v>
      </c>
      <c r="L17" s="29">
        <v>92</v>
      </c>
      <c r="M17" s="29">
        <v>91</v>
      </c>
      <c r="N17" s="29"/>
      <c r="O17" s="26">
        <v>128</v>
      </c>
      <c r="P17" s="26">
        <v>164</v>
      </c>
      <c r="Q17" s="26">
        <v>74</v>
      </c>
      <c r="R17" s="19">
        <v>106</v>
      </c>
      <c r="S17" s="19">
        <v>32</v>
      </c>
    </row>
    <row r="18" spans="1:19" ht="15" customHeight="1" x14ac:dyDescent="0.25">
      <c r="A18" s="9"/>
      <c r="B18" s="28" t="s">
        <v>17</v>
      </c>
      <c r="C18" s="25">
        <f t="shared" si="3"/>
        <v>965</v>
      </c>
      <c r="D18" s="25">
        <f t="shared" si="1"/>
        <v>1377</v>
      </c>
      <c r="E18" s="25">
        <f t="shared" si="1"/>
        <v>1684</v>
      </c>
      <c r="F18" s="25">
        <f t="shared" si="1"/>
        <v>1455</v>
      </c>
      <c r="G18" s="25">
        <f t="shared" si="1"/>
        <v>3697</v>
      </c>
      <c r="H18" s="25"/>
      <c r="I18" s="29">
        <v>470</v>
      </c>
      <c r="J18" s="29">
        <v>595</v>
      </c>
      <c r="K18" s="29">
        <v>679</v>
      </c>
      <c r="L18" s="29">
        <v>627</v>
      </c>
      <c r="M18" s="29">
        <v>629</v>
      </c>
      <c r="N18" s="29"/>
      <c r="O18" s="32">
        <v>162</v>
      </c>
      <c r="P18" s="32">
        <v>303</v>
      </c>
      <c r="Q18" s="32">
        <v>395</v>
      </c>
      <c r="R18" s="19">
        <v>317</v>
      </c>
      <c r="S18" s="19">
        <v>2284</v>
      </c>
    </row>
    <row r="19" spans="1:19" ht="15" customHeight="1" x14ac:dyDescent="0.25">
      <c r="A19" s="9"/>
      <c r="B19" s="28" t="s">
        <v>18</v>
      </c>
      <c r="C19" s="25">
        <f t="shared" si="3"/>
        <v>12713</v>
      </c>
      <c r="D19" s="25">
        <f t="shared" si="1"/>
        <v>11883</v>
      </c>
      <c r="E19" s="25">
        <f t="shared" si="1"/>
        <v>12136</v>
      </c>
      <c r="F19" s="25">
        <f t="shared" si="1"/>
        <v>7392</v>
      </c>
      <c r="G19" s="25">
        <f t="shared" si="1"/>
        <v>6692</v>
      </c>
      <c r="H19" s="25"/>
      <c r="I19" s="29">
        <v>7938</v>
      </c>
      <c r="J19" s="29">
        <v>8155</v>
      </c>
      <c r="K19" s="29">
        <v>7690</v>
      </c>
      <c r="L19" s="29">
        <v>2996</v>
      </c>
      <c r="M19" s="29">
        <v>4022</v>
      </c>
      <c r="N19" s="29"/>
      <c r="O19" s="26">
        <v>2578</v>
      </c>
      <c r="P19" s="26">
        <v>1556</v>
      </c>
      <c r="Q19" s="26">
        <v>2001</v>
      </c>
      <c r="R19" s="19">
        <v>1905</v>
      </c>
      <c r="S19" s="33" t="s">
        <v>19</v>
      </c>
    </row>
    <row r="20" spans="1:19" ht="15" customHeight="1" x14ac:dyDescent="0.25">
      <c r="A20" s="9"/>
      <c r="B20" s="28" t="s">
        <v>20</v>
      </c>
      <c r="C20" s="25">
        <f t="shared" si="3"/>
        <v>310</v>
      </c>
      <c r="D20" s="25">
        <f t="shared" si="1"/>
        <v>326</v>
      </c>
      <c r="E20" s="25">
        <f t="shared" si="1"/>
        <v>345</v>
      </c>
      <c r="F20" s="25">
        <f t="shared" si="1"/>
        <v>371</v>
      </c>
      <c r="G20" s="25">
        <f t="shared" si="1"/>
        <v>406</v>
      </c>
      <c r="H20" s="25"/>
      <c r="I20" s="29">
        <v>310</v>
      </c>
      <c r="J20" s="29">
        <v>326</v>
      </c>
      <c r="K20" s="29">
        <v>345</v>
      </c>
      <c r="L20" s="29">
        <v>371</v>
      </c>
      <c r="M20" s="29">
        <v>406</v>
      </c>
      <c r="N20" s="29"/>
      <c r="O20" s="33" t="s">
        <v>19</v>
      </c>
      <c r="P20" s="33" t="s">
        <v>19</v>
      </c>
      <c r="Q20" s="33" t="s">
        <v>19</v>
      </c>
      <c r="R20" s="33" t="s">
        <v>19</v>
      </c>
      <c r="S20" s="33" t="s">
        <v>19</v>
      </c>
    </row>
    <row r="21" spans="1:19" ht="15" customHeight="1" x14ac:dyDescent="0.25">
      <c r="A21" s="9"/>
      <c r="B21" s="28" t="s">
        <v>21</v>
      </c>
      <c r="C21" s="25">
        <f t="shared" si="3"/>
        <v>10221</v>
      </c>
      <c r="D21" s="25">
        <f t="shared" si="1"/>
        <v>10235</v>
      </c>
      <c r="E21" s="25">
        <f t="shared" si="1"/>
        <v>9379</v>
      </c>
      <c r="F21" s="25">
        <f t="shared" si="1"/>
        <v>9823</v>
      </c>
      <c r="G21" s="25">
        <f t="shared" si="1"/>
        <v>10099</v>
      </c>
      <c r="H21" s="25"/>
      <c r="I21" s="29">
        <v>6104</v>
      </c>
      <c r="J21" s="29">
        <v>6557</v>
      </c>
      <c r="K21" s="29">
        <v>5989</v>
      </c>
      <c r="L21" s="29">
        <v>6013</v>
      </c>
      <c r="M21" s="29">
        <v>6002</v>
      </c>
      <c r="N21" s="29"/>
      <c r="O21" s="26">
        <v>2177</v>
      </c>
      <c r="P21" s="26">
        <v>1841</v>
      </c>
      <c r="Q21" s="26">
        <v>1701</v>
      </c>
      <c r="R21" s="19">
        <v>1875</v>
      </c>
      <c r="S21" s="19">
        <v>2023</v>
      </c>
    </row>
    <row r="22" spans="1:19" ht="3.75" customHeight="1" x14ac:dyDescent="0.25">
      <c r="A22" s="9"/>
      <c r="B22" s="28"/>
      <c r="C22" s="24"/>
      <c r="D22" s="25">
        <f t="shared" si="1"/>
        <v>0</v>
      </c>
      <c r="E22" s="25">
        <f t="shared" si="1"/>
        <v>0</v>
      </c>
      <c r="F22" s="25">
        <f t="shared" si="1"/>
        <v>0</v>
      </c>
      <c r="G22" s="25">
        <f t="shared" si="1"/>
        <v>0</v>
      </c>
      <c r="H22" s="24"/>
      <c r="I22" s="26"/>
      <c r="J22" s="26"/>
      <c r="K22" s="26"/>
      <c r="L22" s="26"/>
      <c r="M22" s="26"/>
      <c r="N22" s="26"/>
      <c r="O22" s="26"/>
      <c r="P22" s="26"/>
      <c r="Q22" s="26"/>
      <c r="R22" s="19"/>
      <c r="S22" s="19"/>
    </row>
    <row r="23" spans="1:19" ht="15" customHeight="1" x14ac:dyDescent="0.25">
      <c r="A23" s="9"/>
      <c r="B23" s="23" t="s">
        <v>22</v>
      </c>
      <c r="C23" s="21">
        <f>SUM(I23,O23,C51,I51,O51)</f>
        <v>4519</v>
      </c>
      <c r="D23" s="21">
        <f t="shared" si="1"/>
        <v>4264</v>
      </c>
      <c r="E23" s="21">
        <f>SUM(K23,Q23,E51,K51,Q51)</f>
        <v>4651</v>
      </c>
      <c r="F23" s="21">
        <f>SUM(L23,R23,F51,L51,R51)</f>
        <v>4725</v>
      </c>
      <c r="G23" s="21">
        <f t="shared" si="1"/>
        <v>4680</v>
      </c>
      <c r="H23" s="21"/>
      <c r="I23" s="22">
        <f t="shared" ref="I23:J23" si="4">SUM(I25:I26)</f>
        <v>2095</v>
      </c>
      <c r="J23" s="22">
        <f t="shared" si="4"/>
        <v>2072</v>
      </c>
      <c r="K23" s="22">
        <f>SUM(K25:K26)</f>
        <v>2122</v>
      </c>
      <c r="L23" s="22">
        <f>SUM(L25:L26)</f>
        <v>2309</v>
      </c>
      <c r="M23" s="22">
        <f>SUM(M25:M26)</f>
        <v>2289</v>
      </c>
      <c r="N23" s="22"/>
      <c r="O23" s="22">
        <f>SUM(O25:O26)</f>
        <v>1395</v>
      </c>
      <c r="P23" s="22">
        <f t="shared" ref="P23:S23" si="5">SUM(P25:P26)</f>
        <v>1307</v>
      </c>
      <c r="Q23" s="22">
        <f t="shared" si="5"/>
        <v>1420</v>
      </c>
      <c r="R23" s="22">
        <f t="shared" si="5"/>
        <v>1320</v>
      </c>
      <c r="S23" s="22">
        <f t="shared" si="5"/>
        <v>1314</v>
      </c>
    </row>
    <row r="24" spans="1:19" ht="3.75" customHeight="1" x14ac:dyDescent="0.25">
      <c r="A24" s="9"/>
      <c r="B24" s="28"/>
      <c r="C24" s="24"/>
      <c r="D24" s="25">
        <f t="shared" si="1"/>
        <v>0</v>
      </c>
      <c r="E24" s="25">
        <f t="shared" si="1"/>
        <v>0</v>
      </c>
      <c r="F24" s="25">
        <f t="shared" si="1"/>
        <v>0</v>
      </c>
      <c r="G24" s="25">
        <f t="shared" si="1"/>
        <v>0</v>
      </c>
      <c r="H24" s="24"/>
      <c r="I24" s="26"/>
      <c r="J24" s="26"/>
      <c r="K24" s="26"/>
      <c r="L24" s="26"/>
      <c r="M24" s="26"/>
      <c r="N24" s="26"/>
      <c r="O24" s="26"/>
      <c r="P24" s="26"/>
      <c r="Q24" s="26"/>
      <c r="R24" s="19"/>
      <c r="S24" s="19"/>
    </row>
    <row r="25" spans="1:19" ht="15" customHeight="1" x14ac:dyDescent="0.25">
      <c r="A25" s="9"/>
      <c r="B25" s="28" t="s">
        <v>23</v>
      </c>
      <c r="C25" s="25">
        <f>SUM(I25,O25,C53,I53,O53)</f>
        <v>4519</v>
      </c>
      <c r="D25" s="25">
        <f t="shared" si="1"/>
        <v>4264</v>
      </c>
      <c r="E25" s="25">
        <f>SUM(K25,Q25,E53,K53,Q53)</f>
        <v>4565</v>
      </c>
      <c r="F25" s="25">
        <f>SUM(L25,R25,F53,L53,R53)</f>
        <v>4655</v>
      </c>
      <c r="G25" s="25">
        <f t="shared" si="1"/>
        <v>4617</v>
      </c>
      <c r="H25" s="25"/>
      <c r="I25" s="29">
        <v>2095</v>
      </c>
      <c r="J25" s="29">
        <v>2072</v>
      </c>
      <c r="K25" s="29">
        <v>2095</v>
      </c>
      <c r="L25" s="29">
        <v>2286</v>
      </c>
      <c r="M25" s="29">
        <v>2268</v>
      </c>
      <c r="N25" s="29"/>
      <c r="O25" s="26">
        <v>1395</v>
      </c>
      <c r="P25" s="26">
        <v>1307</v>
      </c>
      <c r="Q25" s="26">
        <v>1397</v>
      </c>
      <c r="R25" s="19">
        <v>1320</v>
      </c>
      <c r="S25" s="19">
        <v>1314</v>
      </c>
    </row>
    <row r="26" spans="1:19" ht="15" customHeight="1" x14ac:dyDescent="0.25">
      <c r="A26" s="9"/>
      <c r="B26" s="28" t="s">
        <v>24</v>
      </c>
      <c r="C26" s="33" t="s">
        <v>19</v>
      </c>
      <c r="D26" s="33" t="s">
        <v>19</v>
      </c>
      <c r="E26" s="25">
        <f>SUM(K26,Q26,E54,K54,Q54)</f>
        <v>86</v>
      </c>
      <c r="F26" s="25">
        <f>SUM(L26,R26,F54,L54,R54)</f>
        <v>70</v>
      </c>
      <c r="G26" s="25">
        <f>SUM(M26,S26,G54,M54,S54)</f>
        <v>63</v>
      </c>
      <c r="H26" s="25"/>
      <c r="I26" s="33" t="s">
        <v>19</v>
      </c>
      <c r="J26" s="33" t="s">
        <v>19</v>
      </c>
      <c r="K26" s="29">
        <v>27</v>
      </c>
      <c r="L26" s="29">
        <v>23</v>
      </c>
      <c r="M26" s="29">
        <v>21</v>
      </c>
      <c r="N26" s="29"/>
      <c r="O26" s="33" t="s">
        <v>19</v>
      </c>
      <c r="P26" s="33" t="s">
        <v>19</v>
      </c>
      <c r="Q26" s="26">
        <v>23</v>
      </c>
      <c r="R26" s="33" t="s">
        <v>19</v>
      </c>
      <c r="S26" s="33" t="s">
        <v>19</v>
      </c>
    </row>
    <row r="27" spans="1:19" ht="4.5" customHeight="1" x14ac:dyDescent="0.25">
      <c r="A27" s="9"/>
      <c r="B27" s="34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6"/>
      <c r="P27" s="36"/>
      <c r="Q27" s="36"/>
      <c r="R27" s="36"/>
      <c r="S27" s="36"/>
    </row>
    <row r="28" spans="1:19" ht="13.5" customHeight="1" x14ac:dyDescent="0.25">
      <c r="A28" s="9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R28" s="38" t="s">
        <v>28</v>
      </c>
      <c r="S28" s="19"/>
    </row>
    <row r="29" spans="1:19" ht="12" customHeight="1" x14ac:dyDescent="0.25">
      <c r="A29" s="9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19"/>
      <c r="P29" s="19"/>
      <c r="Q29" s="19"/>
      <c r="R29" s="19"/>
      <c r="S29" s="19"/>
    </row>
    <row r="30" spans="1:19" ht="12" customHeight="1" x14ac:dyDescent="0.25">
      <c r="A30" s="9"/>
      <c r="B30" s="37"/>
      <c r="C30" s="37"/>
      <c r="D30" s="37"/>
      <c r="E30" s="37"/>
      <c r="F30" s="39"/>
      <c r="G30" s="39"/>
      <c r="H30" s="39"/>
      <c r="I30" s="39"/>
      <c r="J30" s="39"/>
      <c r="K30" s="39"/>
      <c r="L30" s="39"/>
      <c r="M30" s="39"/>
      <c r="N30" s="39"/>
      <c r="O30" s="19"/>
      <c r="P30" s="19"/>
      <c r="Q30" s="19"/>
      <c r="R30" s="19"/>
      <c r="S30" s="19"/>
    </row>
    <row r="31" spans="1:19" ht="13.5" customHeight="1" x14ac:dyDescent="0.25">
      <c r="A31" s="9"/>
      <c r="B31" s="52" t="s">
        <v>7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19"/>
    </row>
    <row r="32" spans="1:19" ht="9" customHeight="1" x14ac:dyDescent="0.25">
      <c r="A32" s="9"/>
      <c r="B32" s="52" t="s">
        <v>25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40"/>
      <c r="N32" s="40"/>
      <c r="O32" s="41"/>
      <c r="Q32" s="38" t="s">
        <v>29</v>
      </c>
      <c r="R32" s="42"/>
      <c r="S32" s="19"/>
    </row>
    <row r="33" spans="1:19" ht="1.5" customHeight="1" x14ac:dyDescent="0.25">
      <c r="A33" s="9"/>
      <c r="B33" s="43"/>
      <c r="C33" s="43"/>
      <c r="D33" s="43"/>
      <c r="E33" s="43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8" customHeight="1" x14ac:dyDescent="0.2">
      <c r="A34" s="9"/>
      <c r="B34" s="11" t="s">
        <v>8</v>
      </c>
      <c r="C34" s="50" t="s">
        <v>4</v>
      </c>
      <c r="D34" s="51"/>
      <c r="E34" s="51"/>
      <c r="F34" s="51"/>
      <c r="G34" s="51"/>
      <c r="H34" s="12"/>
      <c r="I34" s="51" t="s">
        <v>5</v>
      </c>
      <c r="J34" s="51"/>
      <c r="K34" s="51"/>
      <c r="L34" s="51"/>
      <c r="M34" s="51"/>
      <c r="N34" s="12"/>
      <c r="O34" s="51" t="s">
        <v>3</v>
      </c>
      <c r="P34" s="51"/>
      <c r="Q34" s="51"/>
      <c r="R34" s="51"/>
      <c r="S34" s="51"/>
    </row>
    <row r="35" spans="1:19" ht="18" customHeight="1" x14ac:dyDescent="0.2">
      <c r="A35" s="9"/>
      <c r="B35" s="13" t="s">
        <v>10</v>
      </c>
      <c r="C35" s="14">
        <v>2017</v>
      </c>
      <c r="D35" s="14">
        <v>2018</v>
      </c>
      <c r="E35" s="14">
        <v>2019</v>
      </c>
      <c r="F35" s="14">
        <v>2020</v>
      </c>
      <c r="G35" s="14">
        <v>2021</v>
      </c>
      <c r="H35" s="15"/>
      <c r="I35" s="14">
        <v>2017</v>
      </c>
      <c r="J35" s="14">
        <v>2018</v>
      </c>
      <c r="K35" s="14">
        <v>2019</v>
      </c>
      <c r="L35" s="14">
        <v>2020</v>
      </c>
      <c r="M35" s="14">
        <v>2021</v>
      </c>
      <c r="N35" s="15"/>
      <c r="O35" s="14">
        <v>2017</v>
      </c>
      <c r="P35" s="14">
        <v>2018</v>
      </c>
      <c r="Q35" s="14">
        <v>2019</v>
      </c>
      <c r="R35" s="14">
        <v>2020</v>
      </c>
      <c r="S35" s="14">
        <v>2021</v>
      </c>
    </row>
    <row r="36" spans="1:19" ht="6" customHeight="1" x14ac:dyDescent="0.25">
      <c r="A36" s="9"/>
      <c r="B36" s="28"/>
      <c r="C36" s="39"/>
      <c r="D36" s="39"/>
      <c r="E36" s="39"/>
      <c r="F36" s="39"/>
      <c r="G36" s="39"/>
      <c r="H36" s="39"/>
      <c r="I36" s="17"/>
      <c r="J36" s="17"/>
      <c r="K36" s="17"/>
      <c r="L36" s="17"/>
      <c r="M36" s="17"/>
      <c r="N36" s="17"/>
      <c r="O36" s="44"/>
      <c r="P36" s="44"/>
      <c r="Q36" s="44"/>
      <c r="R36" s="44"/>
      <c r="S36" s="19"/>
    </row>
    <row r="37" spans="1:19" ht="15" customHeight="1" x14ac:dyDescent="0.25">
      <c r="A37" s="9"/>
      <c r="B37" s="20" t="s">
        <v>9</v>
      </c>
      <c r="C37" s="22">
        <f t="shared" ref="C37:G37" si="6">C39+C51</f>
        <v>20538</v>
      </c>
      <c r="D37" s="22">
        <f t="shared" si="6"/>
        <v>21254</v>
      </c>
      <c r="E37" s="22">
        <f t="shared" si="6"/>
        <v>22414</v>
      </c>
      <c r="F37" s="22">
        <f t="shared" si="6"/>
        <v>23101</v>
      </c>
      <c r="G37" s="22">
        <f t="shared" si="6"/>
        <v>23322</v>
      </c>
      <c r="H37" s="22"/>
      <c r="I37" s="21">
        <f t="shared" ref="I37:M37" si="7">I39+I51</f>
        <v>5227</v>
      </c>
      <c r="J37" s="21">
        <f t="shared" si="7"/>
        <v>5227</v>
      </c>
      <c r="K37" s="21">
        <f t="shared" si="7"/>
        <v>5323</v>
      </c>
      <c r="L37" s="21">
        <f t="shared" si="7"/>
        <v>5586</v>
      </c>
      <c r="M37" s="21">
        <f t="shared" si="7"/>
        <v>5430</v>
      </c>
      <c r="N37" s="21"/>
      <c r="O37" s="22">
        <f t="shared" ref="O37:S37" si="8">O39+O51</f>
        <v>41764</v>
      </c>
      <c r="P37" s="22">
        <f t="shared" si="8"/>
        <v>43206</v>
      </c>
      <c r="Q37" s="22">
        <f t="shared" si="8"/>
        <v>45274</v>
      </c>
      <c r="R37" s="22">
        <f t="shared" si="8"/>
        <v>46716</v>
      </c>
      <c r="S37" s="22">
        <f t="shared" si="8"/>
        <v>47780</v>
      </c>
    </row>
    <row r="38" spans="1:19" ht="3.75" customHeight="1" x14ac:dyDescent="0.25">
      <c r="A38" s="9"/>
      <c r="B38" s="23"/>
      <c r="C38" s="29"/>
      <c r="D38" s="29"/>
      <c r="E38" s="29"/>
      <c r="F38" s="29"/>
      <c r="G38" s="29"/>
      <c r="H38" s="29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</row>
    <row r="39" spans="1:19" ht="15" customHeight="1" x14ac:dyDescent="0.25">
      <c r="A39" s="9"/>
      <c r="B39" s="23" t="s">
        <v>11</v>
      </c>
      <c r="C39" s="22">
        <f t="shared" ref="C39:G39" si="9">SUM(C41:C49)</f>
        <v>20160</v>
      </c>
      <c r="D39" s="22">
        <f t="shared" si="9"/>
        <v>20881</v>
      </c>
      <c r="E39" s="22">
        <f t="shared" si="9"/>
        <v>21988</v>
      </c>
      <c r="F39" s="22">
        <f t="shared" si="9"/>
        <v>22730</v>
      </c>
      <c r="G39" s="22">
        <f t="shared" si="9"/>
        <v>22941</v>
      </c>
      <c r="H39" s="22"/>
      <c r="I39" s="22">
        <f t="shared" ref="I39:M39" si="10">SUM(I41:I49)</f>
        <v>5012</v>
      </c>
      <c r="J39" s="22">
        <f t="shared" si="10"/>
        <v>5049</v>
      </c>
      <c r="K39" s="22">
        <f t="shared" si="10"/>
        <v>5124</v>
      </c>
      <c r="L39" s="22">
        <f t="shared" si="10"/>
        <v>5349</v>
      </c>
      <c r="M39" s="22">
        <f t="shared" si="10"/>
        <v>5237</v>
      </c>
      <c r="N39" s="22"/>
      <c r="O39" s="22">
        <f t="shared" ref="O39:S39" si="11">SUM(O41:O49)</f>
        <v>41328</v>
      </c>
      <c r="P39" s="22">
        <f t="shared" si="11"/>
        <v>42872</v>
      </c>
      <c r="Q39" s="22">
        <f t="shared" si="11"/>
        <v>44790</v>
      </c>
      <c r="R39" s="22">
        <f t="shared" si="11"/>
        <v>46228</v>
      </c>
      <c r="S39" s="22">
        <f t="shared" si="11"/>
        <v>47277</v>
      </c>
    </row>
    <row r="40" spans="1:19" ht="3.75" customHeight="1" x14ac:dyDescent="0.25">
      <c r="A40" s="9"/>
      <c r="B40" s="28"/>
      <c r="C40" s="29"/>
      <c r="D40" s="29"/>
      <c r="E40" s="29"/>
      <c r="F40" s="29"/>
      <c r="G40" s="29"/>
      <c r="H40" s="29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19"/>
    </row>
    <row r="41" spans="1:19" ht="15" customHeight="1" x14ac:dyDescent="0.25">
      <c r="A41" s="9"/>
      <c r="B41" s="28" t="s">
        <v>12</v>
      </c>
      <c r="C41" s="26">
        <v>4298</v>
      </c>
      <c r="D41" s="26">
        <v>4503</v>
      </c>
      <c r="E41" s="26">
        <v>4578</v>
      </c>
      <c r="F41" s="26">
        <v>4367</v>
      </c>
      <c r="G41" s="26">
        <v>4180</v>
      </c>
      <c r="H41" s="29"/>
      <c r="I41" s="26">
        <v>932</v>
      </c>
      <c r="J41" s="26">
        <v>974</v>
      </c>
      <c r="K41" s="26">
        <v>943</v>
      </c>
      <c r="L41" s="19">
        <v>947</v>
      </c>
      <c r="M41" s="19">
        <v>960</v>
      </c>
      <c r="N41" s="26"/>
      <c r="O41" s="29">
        <v>8934</v>
      </c>
      <c r="P41" s="29">
        <v>9219</v>
      </c>
      <c r="Q41" s="29">
        <v>9698</v>
      </c>
      <c r="R41" s="29">
        <v>9545</v>
      </c>
      <c r="S41" s="19">
        <v>9278</v>
      </c>
    </row>
    <row r="42" spans="1:19" ht="15" customHeight="1" x14ac:dyDescent="0.25">
      <c r="A42" s="9"/>
      <c r="B42" s="28" t="s">
        <v>13</v>
      </c>
      <c r="C42" s="26">
        <v>7688</v>
      </c>
      <c r="D42" s="26">
        <v>8043</v>
      </c>
      <c r="E42" s="26">
        <v>8715</v>
      </c>
      <c r="F42" s="26">
        <v>9298</v>
      </c>
      <c r="G42" s="26">
        <v>9182</v>
      </c>
      <c r="H42" s="29"/>
      <c r="I42" s="26">
        <v>1773</v>
      </c>
      <c r="J42" s="26">
        <v>1793</v>
      </c>
      <c r="K42" s="26">
        <v>1874</v>
      </c>
      <c r="L42" s="19">
        <v>2078</v>
      </c>
      <c r="M42" s="19">
        <v>1911</v>
      </c>
      <c r="N42" s="26"/>
      <c r="O42" s="29">
        <v>17697</v>
      </c>
      <c r="P42" s="29">
        <v>18525</v>
      </c>
      <c r="Q42" s="29">
        <v>19563</v>
      </c>
      <c r="R42" s="29">
        <v>20568</v>
      </c>
      <c r="S42" s="19">
        <v>20578</v>
      </c>
    </row>
    <row r="43" spans="1:19" ht="15" customHeight="1" x14ac:dyDescent="0.25">
      <c r="A43" s="9"/>
      <c r="B43" s="28" t="s">
        <v>14</v>
      </c>
      <c r="C43" s="26">
        <v>5609</v>
      </c>
      <c r="D43" s="26">
        <v>5696</v>
      </c>
      <c r="E43" s="26">
        <v>5817</v>
      </c>
      <c r="F43" s="26">
        <v>6079</v>
      </c>
      <c r="G43" s="26">
        <v>6441</v>
      </c>
      <c r="H43" s="29"/>
      <c r="I43" s="26">
        <v>1284</v>
      </c>
      <c r="J43" s="26">
        <v>1306</v>
      </c>
      <c r="K43" s="26">
        <v>1350</v>
      </c>
      <c r="L43" s="19">
        <v>1402</v>
      </c>
      <c r="M43" s="19">
        <v>1370</v>
      </c>
      <c r="N43" s="26"/>
      <c r="O43" s="29">
        <v>11661</v>
      </c>
      <c r="P43" s="29">
        <v>12003</v>
      </c>
      <c r="Q43" s="29">
        <v>12552</v>
      </c>
      <c r="R43" s="29">
        <v>13049</v>
      </c>
      <c r="S43" s="19">
        <v>14092</v>
      </c>
    </row>
    <row r="44" spans="1:19" ht="15" customHeight="1" x14ac:dyDescent="0.25">
      <c r="A44" s="9"/>
      <c r="B44" s="28" t="s">
        <v>15</v>
      </c>
      <c r="C44" s="26">
        <v>573</v>
      </c>
      <c r="D44" s="26">
        <v>534</v>
      </c>
      <c r="E44" s="26">
        <v>586</v>
      </c>
      <c r="F44" s="26">
        <v>579</v>
      </c>
      <c r="G44" s="26">
        <v>473</v>
      </c>
      <c r="H44" s="29"/>
      <c r="I44" s="26">
        <v>454</v>
      </c>
      <c r="J44" s="26">
        <v>459</v>
      </c>
      <c r="K44" s="26">
        <v>479</v>
      </c>
      <c r="L44" s="19">
        <v>416</v>
      </c>
      <c r="M44" s="19">
        <v>479</v>
      </c>
      <c r="N44" s="26"/>
      <c r="O44" s="29">
        <v>943</v>
      </c>
      <c r="P44" s="29">
        <v>1122</v>
      </c>
      <c r="Q44" s="29">
        <v>834</v>
      </c>
      <c r="R44" s="29">
        <v>865</v>
      </c>
      <c r="S44" s="19">
        <v>803</v>
      </c>
    </row>
    <row r="45" spans="1:19" ht="15" customHeight="1" x14ac:dyDescent="0.25">
      <c r="A45" s="9"/>
      <c r="B45" s="28" t="s">
        <v>16</v>
      </c>
      <c r="C45" s="26">
        <v>74</v>
      </c>
      <c r="D45" s="26">
        <v>59</v>
      </c>
      <c r="E45" s="26">
        <v>59</v>
      </c>
      <c r="F45" s="26">
        <v>66</v>
      </c>
      <c r="G45" s="26">
        <v>75</v>
      </c>
      <c r="H45" s="29"/>
      <c r="I45" s="26">
        <v>18</v>
      </c>
      <c r="J45" s="26">
        <v>16</v>
      </c>
      <c r="K45" s="26">
        <v>16</v>
      </c>
      <c r="L45" s="19">
        <v>17</v>
      </c>
      <c r="M45" s="19">
        <v>16</v>
      </c>
      <c r="N45" s="26"/>
      <c r="O45" s="29">
        <v>92</v>
      </c>
      <c r="P45" s="29">
        <v>62</v>
      </c>
      <c r="Q45" s="29">
        <v>94</v>
      </c>
      <c r="R45" s="29">
        <v>94</v>
      </c>
      <c r="S45" s="19">
        <v>89</v>
      </c>
    </row>
    <row r="46" spans="1:19" ht="15" customHeight="1" x14ac:dyDescent="0.25">
      <c r="A46" s="9"/>
      <c r="B46" s="28" t="s">
        <v>17</v>
      </c>
      <c r="C46" s="26">
        <v>133</v>
      </c>
      <c r="D46" s="26">
        <v>172</v>
      </c>
      <c r="E46" s="26">
        <v>221</v>
      </c>
      <c r="F46" s="26">
        <v>204</v>
      </c>
      <c r="G46" s="26">
        <v>252</v>
      </c>
      <c r="H46" s="29"/>
      <c r="I46" s="33" t="s">
        <v>19</v>
      </c>
      <c r="J46" s="33" t="s">
        <v>19</v>
      </c>
      <c r="K46" s="33" t="s">
        <v>19</v>
      </c>
      <c r="L46" s="33" t="s">
        <v>19</v>
      </c>
      <c r="M46" s="33" t="s">
        <v>19</v>
      </c>
      <c r="N46" s="26"/>
      <c r="O46" s="29">
        <v>200</v>
      </c>
      <c r="P46" s="29">
        <v>307</v>
      </c>
      <c r="Q46" s="29">
        <v>389</v>
      </c>
      <c r="R46" s="29">
        <v>307</v>
      </c>
      <c r="S46" s="32">
        <v>532</v>
      </c>
    </row>
    <row r="47" spans="1:19" ht="15" customHeight="1" x14ac:dyDescent="0.25">
      <c r="A47" s="9"/>
      <c r="B47" s="28" t="s">
        <v>18</v>
      </c>
      <c r="C47" s="26">
        <v>924</v>
      </c>
      <c r="D47" s="26">
        <v>1030</v>
      </c>
      <c r="E47" s="26">
        <v>1196</v>
      </c>
      <c r="F47" s="26">
        <v>1264</v>
      </c>
      <c r="G47" s="26">
        <v>1283</v>
      </c>
      <c r="H47" s="29"/>
      <c r="I47" s="26">
        <v>376</v>
      </c>
      <c r="J47" s="26">
        <v>360</v>
      </c>
      <c r="K47" s="26">
        <v>338</v>
      </c>
      <c r="L47" s="19">
        <v>323</v>
      </c>
      <c r="M47" s="19">
        <v>360</v>
      </c>
      <c r="N47" s="26"/>
      <c r="O47" s="29">
        <v>897</v>
      </c>
      <c r="P47" s="29">
        <v>782</v>
      </c>
      <c r="Q47" s="29">
        <v>911</v>
      </c>
      <c r="R47" s="29">
        <v>904</v>
      </c>
      <c r="S47" s="19">
        <v>1027</v>
      </c>
    </row>
    <row r="48" spans="1:19" ht="15" customHeight="1" x14ac:dyDescent="0.25">
      <c r="A48" s="9"/>
      <c r="B48" s="28" t="s">
        <v>20</v>
      </c>
      <c r="C48" s="33" t="s">
        <v>26</v>
      </c>
      <c r="D48" s="33" t="s">
        <v>26</v>
      </c>
      <c r="E48" s="33" t="s">
        <v>26</v>
      </c>
      <c r="F48" s="33" t="s">
        <v>26</v>
      </c>
      <c r="G48" s="33" t="s">
        <v>26</v>
      </c>
      <c r="H48" s="33"/>
      <c r="I48" s="33" t="s">
        <v>26</v>
      </c>
      <c r="J48" s="33" t="s">
        <v>26</v>
      </c>
      <c r="K48" s="33" t="s">
        <v>26</v>
      </c>
      <c r="L48" s="33" t="s">
        <v>26</v>
      </c>
      <c r="M48" s="33" t="s">
        <v>26</v>
      </c>
      <c r="N48" s="33"/>
      <c r="O48" s="33" t="s">
        <v>26</v>
      </c>
      <c r="P48" s="33" t="s">
        <v>26</v>
      </c>
      <c r="Q48" s="33" t="s">
        <v>26</v>
      </c>
      <c r="R48" s="33" t="s">
        <v>26</v>
      </c>
      <c r="S48" s="33" t="s">
        <v>26</v>
      </c>
    </row>
    <row r="49" spans="1:19" ht="15" customHeight="1" x14ac:dyDescent="0.25">
      <c r="A49" s="9"/>
      <c r="B49" s="28" t="s">
        <v>21</v>
      </c>
      <c r="C49" s="26">
        <v>861</v>
      </c>
      <c r="D49" s="26">
        <v>844</v>
      </c>
      <c r="E49" s="26">
        <v>816</v>
      </c>
      <c r="F49" s="26">
        <v>873</v>
      </c>
      <c r="G49" s="26">
        <v>1055</v>
      </c>
      <c r="H49" s="29"/>
      <c r="I49" s="26">
        <v>175</v>
      </c>
      <c r="J49" s="26">
        <v>141</v>
      </c>
      <c r="K49" s="26">
        <v>124</v>
      </c>
      <c r="L49" s="19">
        <v>166</v>
      </c>
      <c r="M49" s="19">
        <v>141</v>
      </c>
      <c r="N49" s="26"/>
      <c r="O49" s="29">
        <v>904</v>
      </c>
      <c r="P49" s="29">
        <v>852</v>
      </c>
      <c r="Q49" s="29">
        <v>749</v>
      </c>
      <c r="R49" s="29">
        <v>896</v>
      </c>
      <c r="S49" s="19">
        <v>878</v>
      </c>
    </row>
    <row r="50" spans="1:19" ht="3" customHeight="1" x14ac:dyDescent="0.25">
      <c r="A50" s="9"/>
      <c r="B50" s="28"/>
      <c r="C50" s="26"/>
      <c r="D50" s="26"/>
      <c r="E50" s="26"/>
      <c r="F50" s="26"/>
      <c r="G50" s="26"/>
      <c r="H50" s="29"/>
      <c r="I50" s="26"/>
      <c r="J50" s="26"/>
      <c r="K50" s="26"/>
      <c r="L50" s="19"/>
      <c r="M50" s="19"/>
      <c r="N50" s="26"/>
      <c r="O50" s="29"/>
      <c r="P50" s="29"/>
      <c r="Q50" s="29"/>
      <c r="R50" s="29"/>
      <c r="S50" s="19"/>
    </row>
    <row r="51" spans="1:19" ht="15" customHeight="1" x14ac:dyDescent="0.25">
      <c r="A51" s="9"/>
      <c r="B51" s="23" t="s">
        <v>22</v>
      </c>
      <c r="C51" s="22">
        <f t="shared" ref="C51:G51" si="12">SUM(C53:C54)</f>
        <v>378</v>
      </c>
      <c r="D51" s="22">
        <f t="shared" si="12"/>
        <v>373</v>
      </c>
      <c r="E51" s="22">
        <f t="shared" si="12"/>
        <v>426</v>
      </c>
      <c r="F51" s="22">
        <f t="shared" si="12"/>
        <v>371</v>
      </c>
      <c r="G51" s="22">
        <f t="shared" si="12"/>
        <v>381</v>
      </c>
      <c r="H51" s="22"/>
      <c r="I51" s="22">
        <f t="shared" ref="I51:M51" si="13">SUM(I53:I54)</f>
        <v>215</v>
      </c>
      <c r="J51" s="22">
        <f t="shared" si="13"/>
        <v>178</v>
      </c>
      <c r="K51" s="22">
        <f t="shared" si="13"/>
        <v>199</v>
      </c>
      <c r="L51" s="22">
        <f t="shared" si="13"/>
        <v>237</v>
      </c>
      <c r="M51" s="22">
        <f t="shared" si="13"/>
        <v>193</v>
      </c>
      <c r="N51" s="21"/>
      <c r="O51" s="22">
        <f t="shared" ref="O51:S51" si="14">SUM(O53:O54)</f>
        <v>436</v>
      </c>
      <c r="P51" s="22">
        <f t="shared" si="14"/>
        <v>334</v>
      </c>
      <c r="Q51" s="22">
        <f t="shared" si="14"/>
        <v>484</v>
      </c>
      <c r="R51" s="22">
        <f t="shared" si="14"/>
        <v>488</v>
      </c>
      <c r="S51" s="22">
        <f t="shared" si="14"/>
        <v>503</v>
      </c>
    </row>
    <row r="52" spans="1:19" ht="3" customHeight="1" x14ac:dyDescent="0.25">
      <c r="A52" s="9"/>
      <c r="B52" s="28"/>
      <c r="C52" s="31"/>
      <c r="D52" s="31"/>
      <c r="E52" s="31"/>
      <c r="F52" s="31"/>
      <c r="G52" s="31"/>
      <c r="H52" s="29"/>
      <c r="I52" s="26"/>
      <c r="J52" s="26"/>
      <c r="K52" s="26"/>
      <c r="L52" s="19"/>
      <c r="M52" s="19"/>
      <c r="N52" s="31"/>
      <c r="O52" s="29"/>
      <c r="P52" s="29"/>
      <c r="Q52" s="29"/>
      <c r="R52" s="29"/>
      <c r="S52" s="19"/>
    </row>
    <row r="53" spans="1:19" ht="15" customHeight="1" x14ac:dyDescent="0.25">
      <c r="A53" s="9"/>
      <c r="B53" s="28" t="s">
        <v>23</v>
      </c>
      <c r="C53" s="32">
        <v>378</v>
      </c>
      <c r="D53" s="32">
        <v>373</v>
      </c>
      <c r="E53" s="32">
        <v>403</v>
      </c>
      <c r="F53" s="32">
        <v>343</v>
      </c>
      <c r="G53" s="32">
        <v>363</v>
      </c>
      <c r="H53" s="26"/>
      <c r="I53" s="26">
        <v>215</v>
      </c>
      <c r="J53" s="26">
        <v>178</v>
      </c>
      <c r="K53" s="26">
        <v>199</v>
      </c>
      <c r="L53" s="19">
        <v>237</v>
      </c>
      <c r="M53" s="19">
        <v>193</v>
      </c>
      <c r="N53" s="32"/>
      <c r="O53" s="26">
        <v>436</v>
      </c>
      <c r="P53" s="26">
        <v>334</v>
      </c>
      <c r="Q53" s="26">
        <v>471</v>
      </c>
      <c r="R53" s="26">
        <v>469</v>
      </c>
      <c r="S53" s="19">
        <v>479</v>
      </c>
    </row>
    <row r="54" spans="1:19" ht="15" customHeight="1" x14ac:dyDescent="0.25">
      <c r="A54" s="9"/>
      <c r="B54" s="28" t="s">
        <v>24</v>
      </c>
      <c r="C54" s="33" t="s">
        <v>19</v>
      </c>
      <c r="D54" s="33" t="s">
        <v>19</v>
      </c>
      <c r="E54" s="32">
        <v>23</v>
      </c>
      <c r="F54" s="32">
        <v>28</v>
      </c>
      <c r="G54" s="32">
        <v>18</v>
      </c>
      <c r="H54" s="26"/>
      <c r="I54" s="33" t="s">
        <v>26</v>
      </c>
      <c r="J54" s="33" t="s">
        <v>26</v>
      </c>
      <c r="K54" s="33" t="s">
        <v>26</v>
      </c>
      <c r="L54" s="33" t="s">
        <v>26</v>
      </c>
      <c r="M54" s="33" t="s">
        <v>26</v>
      </c>
      <c r="N54" s="32"/>
      <c r="O54" s="33" t="s">
        <v>19</v>
      </c>
      <c r="P54" s="33" t="s">
        <v>19</v>
      </c>
      <c r="Q54" s="26">
        <v>13</v>
      </c>
      <c r="R54" s="26">
        <v>19</v>
      </c>
      <c r="S54" s="32">
        <v>24</v>
      </c>
    </row>
    <row r="55" spans="1:19" ht="4.5" customHeight="1" x14ac:dyDescent="0.2">
      <c r="A55" s="9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7"/>
    </row>
    <row r="56" spans="1:19" ht="12" customHeight="1" x14ac:dyDescent="0.2">
      <c r="A56" s="9"/>
      <c r="B56" s="38" t="s">
        <v>27</v>
      </c>
      <c r="C56" s="48"/>
      <c r="D56" s="48"/>
      <c r="E56" s="48"/>
      <c r="F56" s="27"/>
      <c r="G56" s="27"/>
      <c r="H56" s="27"/>
      <c r="I56" s="27"/>
      <c r="J56" s="27"/>
      <c r="K56" s="27"/>
      <c r="L56" s="27"/>
      <c r="M56" s="27"/>
      <c r="N56" s="27"/>
      <c r="O56" s="9"/>
      <c r="P56" s="9"/>
      <c r="Q56" s="9"/>
      <c r="R56" s="27"/>
      <c r="S56" s="9"/>
    </row>
    <row r="57" spans="1:19" ht="12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9" ht="13.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5"/>
      <c r="K58" s="5"/>
      <c r="L58" s="5"/>
      <c r="M58" s="5"/>
      <c r="N58" s="1"/>
      <c r="O58" s="1"/>
    </row>
    <row r="59" spans="1:19" ht="9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4"/>
      <c r="K59" s="4"/>
      <c r="L59" s="4"/>
      <c r="M59" s="4"/>
      <c r="N59" s="1"/>
      <c r="O59" s="1"/>
    </row>
    <row r="60" spans="1:19" ht="6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4"/>
      <c r="K60" s="49" t="s">
        <v>1</v>
      </c>
      <c r="L60" s="7">
        <v>116773</v>
      </c>
      <c r="M60" s="4"/>
      <c r="N60" s="5"/>
      <c r="O60" s="5"/>
    </row>
    <row r="61" spans="1:19" ht="1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4"/>
      <c r="K61" s="6" t="s">
        <v>2</v>
      </c>
      <c r="L61" s="7">
        <v>72216</v>
      </c>
      <c r="M61" s="4"/>
      <c r="N61" s="5"/>
      <c r="O61" s="5"/>
    </row>
    <row r="62" spans="1:19" ht="1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4"/>
      <c r="K62" s="6" t="s">
        <v>3</v>
      </c>
      <c r="L62" s="7">
        <v>47780</v>
      </c>
      <c r="M62" s="4"/>
      <c r="N62" s="5"/>
      <c r="O62" s="5"/>
    </row>
    <row r="63" spans="1:19" ht="6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4"/>
      <c r="K63" s="6" t="s">
        <v>4</v>
      </c>
      <c r="L63" s="7">
        <v>23322</v>
      </c>
      <c r="M63" s="4"/>
      <c r="N63" s="5"/>
      <c r="O63" s="5"/>
    </row>
    <row r="64" spans="1:19" ht="1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4"/>
      <c r="K64" s="6" t="s">
        <v>5</v>
      </c>
      <c r="L64" s="7">
        <v>5430</v>
      </c>
      <c r="M64" s="4"/>
      <c r="N64" s="5"/>
      <c r="O64" s="5"/>
    </row>
    <row r="66" spans="12:12" ht="12.75" customHeight="1" x14ac:dyDescent="0.2">
      <c r="L66" s="54"/>
    </row>
  </sheetData>
  <mergeCells count="9">
    <mergeCell ref="C34:G34"/>
    <mergeCell ref="I34:M34"/>
    <mergeCell ref="O34:S34"/>
    <mergeCell ref="B4:R4"/>
    <mergeCell ref="C6:G6"/>
    <mergeCell ref="I6:M6"/>
    <mergeCell ref="O6:S6"/>
    <mergeCell ref="B31:R31"/>
    <mergeCell ref="B32:L32"/>
  </mergeCells>
  <phoneticPr fontId="0" type="noConversion"/>
  <printOptions horizontalCentered="1"/>
  <pageMargins left="0.78740157480314965" right="0.59055118110236227" top="0.78740157480314965" bottom="0.59055118110236227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5,1 A</vt:lpstr>
      <vt:lpstr>'5,1 A'!Área_de_impresión</vt:lpstr>
    </vt:vector>
  </TitlesOfParts>
  <Company>CIDEP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2014-10-02T21:32:39Z</cp:lastPrinted>
  <dcterms:created xsi:type="dcterms:W3CDTF">1999-05-31T23:40:41Z</dcterms:created>
  <dcterms:modified xsi:type="dcterms:W3CDTF">2022-12-22T15:31:13Z</dcterms:modified>
</cp:coreProperties>
</file>