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4-Minería e Hidrocarburos\"/>
    </mc:Choice>
  </mc:AlternateContent>
  <bookViews>
    <workbookView xWindow="15" yWindow="15" windowWidth="21210" windowHeight="9645"/>
  </bookViews>
  <sheets>
    <sheet name="  14,1  " sheetId="1" r:id="rId1"/>
    <sheet name="GRAFICO" sheetId="2" state="hidden" r:id="rId2"/>
  </sheets>
  <definedNames>
    <definedName name="_Regression_Int" localSheetId="0" hidden="1">1</definedName>
    <definedName name="A_impresión_IM" localSheetId="0">'  14,1  '!#REF!</definedName>
    <definedName name="_xlnm.Print_Area" localSheetId="0">'  14,1  '!$B$27:$N$47</definedName>
    <definedName name="_xlnm.Print_Area" localSheetId="1">GRAFICO!$A$1:$I$22</definedName>
  </definedNames>
  <calcPr calcId="162913"/>
</workbook>
</file>

<file path=xl/calcChain.xml><?xml version="1.0" encoding="utf-8"?>
<calcChain xmlns="http://schemas.openxmlformats.org/spreadsheetml/2006/main">
  <c r="M21" i="1" l="1"/>
  <c r="M20" i="1"/>
  <c r="M19" i="1"/>
  <c r="M18" i="1"/>
  <c r="M17" i="1"/>
  <c r="M16" i="1"/>
  <c r="M15" i="1"/>
  <c r="M12" i="1"/>
  <c r="M11" i="1"/>
  <c r="M10" i="1"/>
  <c r="L8" i="1"/>
  <c r="K8" i="1"/>
  <c r="J8" i="1"/>
  <c r="I8" i="1"/>
  <c r="H8" i="1"/>
  <c r="G8" i="1"/>
  <c r="F8" i="1"/>
  <c r="E8" i="1"/>
  <c r="D8" i="1"/>
  <c r="C8" i="1"/>
  <c r="M8" i="1" l="1"/>
</calcChain>
</file>

<file path=xl/sharedStrings.xml><?xml version="1.0" encoding="utf-8"?>
<sst xmlns="http://schemas.openxmlformats.org/spreadsheetml/2006/main" count="24" uniqueCount="21">
  <si>
    <t>Fuente: Ministerio de Energía y Minas - Dirección General de Promoción y Sostenibilidad Minera.</t>
  </si>
  <si>
    <t>2021 P/</t>
  </si>
  <si>
    <t>14.2   ICA: VOLUMEN DE PRODUCCIÓN DE HIERRO, 2012 - 2021</t>
  </si>
  <si>
    <t xml:space="preserve">         (Miles de toneladas métricas finas)</t>
  </si>
  <si>
    <t>Mes</t>
  </si>
  <si>
    <t>Producción de hierro</t>
  </si>
  <si>
    <t>Variación % 2021/2020</t>
  </si>
  <si>
    <t>Total</t>
  </si>
  <si>
    <t>Enero</t>
  </si>
  <si>
    <t>Febrero</t>
  </si>
  <si>
    <t>Marzo</t>
  </si>
  <si>
    <t>Abril</t>
  </si>
  <si>
    <t>-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</si>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</sst>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##\ ###"/>
    <numFmt numFmtId="165" formatCode="#\ ##0.0"/>
    <numFmt numFmtId="166" formatCode="0.0"/>
    <numFmt numFmtId="167" formatCode="#,##0.0"/>
  </numFmts>
  <fonts count="24" x14ac:knownFonts="1">
    <font>
      <sz val="10"/>
      <name val="Helv"/>
    </font>
    <font>
      <sz val="10"/>
      <name val="Arial"/>
      <family val="2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name val="Helv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b/>
      <sz val="8"/>
      <name val="Arial Narrow"/>
      <family val="2"/>
    </font>
    <font>
      <sz val="8"/>
      <name val="Arial Narrow"/>
      <family val="2"/>
    </font>
    <font>
      <sz val="10"/>
      <name val="Arial"/>
      <family val="2"/>
    </font>
    <font>
      <sz val="8"/>
      <color theme="0"/>
      <name val="Times New Roman"/>
      <family val="1"/>
    </font>
    <font>
      <sz val="8"/>
      <color theme="0"/>
      <name val="Arial"/>
      <family val="2"/>
    </font>
    <font>
      <b/>
      <sz val="7"/>
      <name val="Arial Narrow"/>
      <family val="2"/>
    </font>
    <font>
      <sz val="8"/>
      <color theme="0"/>
      <name val="Arial Narrow"/>
      <family val="2"/>
    </font>
    <font>
      <sz val="8"/>
      <color rgb="FF0000FF"/>
      <name val="Times New Roman"/>
      <family val="1"/>
    </font>
    <font>
      <sz val="8"/>
      <color rgb="FF0000FF"/>
      <name val="Arial"/>
      <family val="2"/>
    </font>
    <font>
      <b/>
      <sz val="9"/>
      <name val="Arial Narrow"/>
      <family val="2"/>
    </font>
    <font>
      <b/>
      <sz val="8"/>
      <color indexed="10"/>
      <name val="Arial Narrow"/>
      <family val="2"/>
    </font>
    <font>
      <sz val="8"/>
      <color indexed="12"/>
      <name val="Arial Narrow"/>
      <family val="2"/>
    </font>
    <font>
      <u/>
      <sz val="10"/>
      <name val="Helv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3" fillId="0" borderId="0"/>
    <xf numFmtId="0" fontId="1" fillId="0" borderId="0"/>
    <xf numFmtId="0" fontId="8" fillId="0" borderId="0"/>
  </cellStyleXfs>
  <cellXfs count="60">
    <xf numFmtId="0" fontId="0" fillId="0" borderId="0" xfId="0"/>
    <xf numFmtId="0" fontId="4" fillId="0" borderId="0" xfId="0" applyFont="1"/>
    <xf numFmtId="0" fontId="3" fillId="2" borderId="0" xfId="0" applyFont="1" applyFill="1" applyBorder="1" applyAlignment="1" applyProtection="1">
      <alignment horizontal="center"/>
    </xf>
    <xf numFmtId="0" fontId="4" fillId="2" borderId="0" xfId="0" applyFont="1" applyFill="1" applyProtection="1"/>
    <xf numFmtId="0" fontId="4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Protection="1">
      <protection locked="0"/>
    </xf>
    <xf numFmtId="0" fontId="5" fillId="0" borderId="0" xfId="0" applyFont="1"/>
    <xf numFmtId="0" fontId="5" fillId="0" borderId="0" xfId="0" applyFont="1" applyBorder="1"/>
    <xf numFmtId="0" fontId="5" fillId="0" borderId="0" xfId="0" applyFont="1" applyProtection="1"/>
    <xf numFmtId="0" fontId="2" fillId="0" borderId="0" xfId="0" applyFont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6" fillId="2" borderId="0" xfId="0" applyFont="1" applyFill="1" applyBorder="1"/>
    <xf numFmtId="0" fontId="6" fillId="0" borderId="0" xfId="0" applyFont="1" applyBorder="1"/>
    <xf numFmtId="0" fontId="6" fillId="0" borderId="0" xfId="0" applyFont="1" applyBorder="1" applyAlignment="1" applyProtection="1">
      <alignment horizontal="right"/>
    </xf>
    <xf numFmtId="0" fontId="6" fillId="0" borderId="0" xfId="0" applyFont="1"/>
    <xf numFmtId="1" fontId="4" fillId="0" borderId="0" xfId="0" applyNumberFormat="1" applyFont="1"/>
    <xf numFmtId="0" fontId="14" fillId="0" borderId="0" xfId="0" applyFont="1"/>
    <xf numFmtId="0" fontId="15" fillId="0" borderId="0" xfId="0" applyFont="1"/>
    <xf numFmtId="0" fontId="14" fillId="3" borderId="0" xfId="0" applyFont="1" applyFill="1" applyBorder="1"/>
    <xf numFmtId="0" fontId="4" fillId="3" borderId="0" xfId="0" applyFont="1" applyFill="1" applyBorder="1"/>
    <xf numFmtId="0" fontId="4" fillId="0" borderId="0" xfId="0" applyFont="1" applyBorder="1"/>
    <xf numFmtId="3" fontId="15" fillId="3" borderId="0" xfId="2" applyNumberFormat="1" applyFont="1" applyFill="1" applyBorder="1" applyAlignment="1">
      <alignment horizontal="right"/>
    </xf>
    <xf numFmtId="0" fontId="17" fillId="0" borderId="0" xfId="0" applyFont="1"/>
    <xf numFmtId="164" fontId="17" fillId="0" borderId="0" xfId="0" applyNumberFormat="1" applyFont="1"/>
    <xf numFmtId="0" fontId="11" fillId="0" borderId="1" xfId="0" applyFont="1" applyBorder="1" applyAlignment="1">
      <alignment horizontal="right" vertical="center" wrapText="1"/>
    </xf>
    <xf numFmtId="0" fontId="12" fillId="0" borderId="0" xfId="0" applyFont="1" applyBorder="1"/>
    <xf numFmtId="0" fontId="12" fillId="0" borderId="1" xfId="0" applyFont="1" applyBorder="1"/>
    <xf numFmtId="0" fontId="18" fillId="0" borderId="0" xfId="0" applyFont="1"/>
    <xf numFmtId="0" fontId="19" fillId="0" borderId="0" xfId="0" applyFont="1"/>
    <xf numFmtId="0" fontId="12" fillId="0" borderId="0" xfId="0" applyFont="1"/>
    <xf numFmtId="0" fontId="20" fillId="0" borderId="0" xfId="0" applyFont="1" applyAlignment="1">
      <alignment horizontal="left" vertical="top"/>
    </xf>
    <xf numFmtId="0" fontId="12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left" vertical="center"/>
    </xf>
    <xf numFmtId="0" fontId="11" fillId="0" borderId="0" xfId="0" applyFont="1" applyAlignment="1">
      <alignment horizontal="centerContinuous"/>
    </xf>
    <xf numFmtId="0" fontId="12" fillId="0" borderId="5" xfId="0" applyFont="1" applyBorder="1"/>
    <xf numFmtId="0" fontId="11" fillId="0" borderId="5" xfId="0" applyFont="1" applyBorder="1"/>
    <xf numFmtId="165" fontId="11" fillId="0" borderId="0" xfId="0" applyNumberFormat="1" applyFont="1" applyBorder="1" applyAlignment="1">
      <alignment horizontal="right"/>
    </xf>
    <xf numFmtId="166" fontId="11" fillId="0" borderId="0" xfId="0" quotePrefix="1" applyNumberFormat="1" applyFont="1" applyBorder="1" applyAlignment="1">
      <alignment horizontal="right"/>
    </xf>
    <xf numFmtId="166" fontId="11" fillId="0" borderId="0" xfId="0" applyNumberFormat="1" applyFont="1" applyBorder="1" applyAlignment="1">
      <alignment horizontal="right"/>
    </xf>
    <xf numFmtId="2" fontId="11" fillId="0" borderId="0" xfId="0" applyNumberFormat="1" applyFont="1" applyBorder="1" applyAlignment="1">
      <alignment horizontal="right"/>
    </xf>
    <xf numFmtId="0" fontId="10" fillId="2" borderId="0" xfId="0" applyNumberFormat="1" applyFont="1" applyFill="1" applyBorder="1" applyAlignment="1">
      <alignment horizontal="right" wrapText="1"/>
    </xf>
    <xf numFmtId="166" fontId="10" fillId="2" borderId="0" xfId="0" applyNumberFormat="1" applyFont="1" applyFill="1" applyBorder="1" applyAlignment="1">
      <alignment horizontal="right" wrapText="1"/>
    </xf>
    <xf numFmtId="165" fontId="10" fillId="2" borderId="0" xfId="0" applyNumberFormat="1" applyFont="1" applyFill="1" applyBorder="1" applyAlignment="1">
      <alignment horizontal="right" wrapText="1"/>
    </xf>
    <xf numFmtId="166" fontId="12" fillId="0" borderId="0" xfId="0" quotePrefix="1" applyNumberFormat="1" applyFont="1" applyBorder="1" applyAlignment="1">
      <alignment horizontal="right"/>
    </xf>
    <xf numFmtId="0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7" fontId="12" fillId="0" borderId="0" xfId="1" applyNumberFormat="1" applyFont="1" applyFill="1" applyBorder="1" applyAlignment="1">
      <alignment horizontal="right"/>
    </xf>
    <xf numFmtId="165" fontId="12" fillId="0" borderId="0" xfId="1" applyNumberFormat="1" applyFont="1" applyFill="1" applyBorder="1" applyAlignment="1">
      <alignment horizontal="right"/>
    </xf>
    <xf numFmtId="0" fontId="12" fillId="0" borderId="2" xfId="0" applyFont="1" applyBorder="1"/>
    <xf numFmtId="0" fontId="16" fillId="0" borderId="0" xfId="3" applyFont="1" applyBorder="1" applyAlignment="1" applyProtection="1">
      <alignment horizontal="left" vertical="center"/>
    </xf>
    <xf numFmtId="0" fontId="11" fillId="0" borderId="0" xfId="0" applyFont="1" applyBorder="1"/>
    <xf numFmtId="0" fontId="23" fillId="0" borderId="0" xfId="0" applyFont="1"/>
    <xf numFmtId="0" fontId="11" fillId="0" borderId="3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right" vertical="center" wrapText="1"/>
    </xf>
    <xf numFmtId="0" fontId="10" fillId="0" borderId="1" xfId="0" applyFont="1" applyBorder="1" applyAlignment="1">
      <alignment horizontal="right" vertical="center" wrapText="1"/>
    </xf>
  </cellXfs>
  <cellStyles count="4">
    <cellStyle name="Normal" xfId="0" builtinId="0"/>
    <cellStyle name="Normal 2" xfId="1"/>
    <cellStyle name="Normal 3" xfId="2"/>
    <cellStyle name="Normal_IEC12005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DPTO. ICA : PRODUCCION DE HIERRO : 1988 - 96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8-4582-886A-BCB47880C0A2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58-4582-886A-BCB47880C0A2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8-4582-886A-BCB47880C0A2}"/>
                </c:ext>
              </c:extLst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8-4582-886A-BCB47880C0A2}"/>
                </c:ext>
              </c:extLst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8-4582-886A-BCB47880C0A2}"/>
                </c:ext>
              </c:extLst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58-4582-886A-BCB47880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  14,1 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  14,1  '!#REF!</c15:sqref>
                        </c15:formulaRef>
                      </c:ext>
                    </c:extLst>
                    <c:numCache>
                      <c:formatCode>###\ ###\ ##0</c:formatCode>
                      <c:ptCount val="11"/>
                      <c:pt idx="0">
                        <c:v>3768147.2192430012</c:v>
                      </c:pt>
                      <c:pt idx="1">
                        <c:v>277294.48259600002</c:v>
                      </c:pt>
                      <c:pt idx="2">
                        <c:v>7192591.9308000002</c:v>
                      </c:pt>
                      <c:pt idx="3">
                        <c:v>23105.261869000002</c:v>
                      </c:pt>
                      <c:pt idx="4">
                        <c:v>17017.692465</c:v>
                      </c:pt>
                      <c:pt idx="7" formatCode="#\ ###\ ##0;0;&quot;-&quot;">
                        <c:v>42459.999566999992</c:v>
                      </c:pt>
                      <c:pt idx="8" formatCode="#\ ###\ ##0;0;&quot;-&quot;">
                        <c:v>16684.838929999998</c:v>
                      </c:pt>
                      <c:pt idx="9" formatCode="#\ ###\ ##0;0;&quot;-&quot;">
                        <c:v>174255.436889</c:v>
                      </c:pt>
                      <c:pt idx="10" formatCode="#\ ###\ ##0;0;&quot;-&quot;">
                        <c:v>100713.15476600001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6-7958-4582-886A-BCB47880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6240"/>
        <c:axId val="250628416"/>
      </c:barChart>
      <c:catAx>
        <c:axId val="250626240"/>
        <c:scaling>
          <c:orientation val="minMax"/>
        </c:scaling>
        <c:delete val="0"/>
        <c:axPos val="b"/>
        <c:numFmt formatCode="###\ ###\ 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250628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0628416"/>
        <c:scaling>
          <c:orientation val="minMax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06262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paperSize="9" orientation="landscape" horizontalDpi="120" verticalDpi="14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ysClr val="windowText" lastClr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es-PE" sz="900" b="1">
                <a:solidFill>
                  <a:sysClr val="windowText" lastClr="000000"/>
                </a:solidFill>
              </a:rPr>
              <a:t>ICA: PRODUCCIÓN DE HIERRO, 2013 - 2021
</a:t>
            </a:r>
            <a:r>
              <a:rPr lang="es-PE" sz="900" b="0">
                <a:solidFill>
                  <a:sysClr val="windowText" lastClr="000000"/>
                </a:solidFill>
              </a:rPr>
              <a:t>(Miles de toneladas de contenido fino)</a:t>
            </a:r>
          </a:p>
        </c:rich>
      </c:tx>
      <c:layout>
        <c:manualLayout>
          <c:xMode val="edge"/>
          <c:yMode val="edge"/>
          <c:x val="0.31774216870637412"/>
          <c:y val="2.90970150470321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69902912621356E-3"/>
          <c:y val="0.13908872901678657"/>
          <c:w val="0.98446601941747569"/>
          <c:h val="0.720623501199040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  14,1  '!$Q$39:$Q$48</c15:sqref>
                  </c15:fullRef>
                </c:ext>
              </c:extLst>
              <c:f>'  14,1  '!$Q$40:$Q$48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  14,1  '!$R$39:$R$48</c15:sqref>
                  </c15:fullRef>
                </c:ext>
              </c:extLst>
              <c:f>'  14,1  '!$R$40:$R$48</c:f>
              <c:numCache>
                <c:formatCode>###\ ###</c:formatCode>
                <c:ptCount val="9"/>
                <c:pt idx="0">
                  <c:v>6680.6589999999997</c:v>
                </c:pt>
                <c:pt idx="1">
                  <c:v>7192.5919999999996</c:v>
                </c:pt>
                <c:pt idx="2">
                  <c:v>7320.8069999999998</c:v>
                </c:pt>
                <c:pt idx="3">
                  <c:v>7663</c:v>
                </c:pt>
                <c:pt idx="4">
                  <c:v>8806.4519999999993</c:v>
                </c:pt>
                <c:pt idx="5">
                  <c:v>9533.8709999999992</c:v>
                </c:pt>
                <c:pt idx="6">
                  <c:v>10120.007</c:v>
                </c:pt>
                <c:pt idx="7">
                  <c:v>8893.9719999999998</c:v>
                </c:pt>
                <c:pt idx="8">
                  <c:v>12149.27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C-4AE9-BE2B-DCE9D33718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50412616"/>
        <c:axId val="250413000"/>
      </c:barChart>
      <c:catAx>
        <c:axId val="250412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Ministerio de Energía y Minas</a:t>
                </a:r>
              </a:p>
            </c:rich>
          </c:tx>
          <c:layout>
            <c:manualLayout>
              <c:xMode val="edge"/>
              <c:yMode val="edge"/>
              <c:x val="2.6108128888952167E-2"/>
              <c:y val="0.94163900375762377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0413000"/>
        <c:crosses val="autoZero"/>
        <c:auto val="1"/>
        <c:lblAlgn val="ctr"/>
        <c:lblOffset val="100"/>
        <c:noMultiLvlLbl val="0"/>
      </c:catAx>
      <c:valAx>
        <c:axId val="250413000"/>
        <c:scaling>
          <c:orientation val="minMax"/>
        </c:scaling>
        <c:delete val="0"/>
        <c:axPos val="l"/>
        <c:numFmt formatCode="###\ ###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250412616"/>
        <c:crosses val="autoZero"/>
        <c:crossBetween val="between"/>
        <c:majorUnit val="2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r>
              <a:t> ICA : PRODUCCION DE HIERRO 1994 al 2003
(Miles Toneladas de Contenido Fino)</a:t>
            </a:r>
          </a:p>
        </c:rich>
      </c:tx>
      <c:layout>
        <c:manualLayout>
          <c:xMode val="edge"/>
          <c:yMode val="edge"/>
          <c:x val="0.24735729386892177"/>
          <c:y val="1.8315018315018316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45"/>
      <c:rotY val="20"/>
      <c:depthPercent val="200"/>
      <c:rAngAx val="1"/>
    </c:view3D>
    <c:floor>
      <c:thickness val="0"/>
      <c:spPr>
        <a:solidFill>
          <a:srgbClr val="C0C0C0"/>
        </a:solidFill>
        <a:ln w="12700">
          <a:solidFill>
            <a:srgbClr val="33CCCC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6.5539112050739964E-2"/>
          <c:y val="0.20879195567177367"/>
          <c:w val="0.92600422832980978"/>
          <c:h val="0.7069622358710933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CCFFCC"/>
            </a:solidFill>
            <a:ln w="12700">
              <a:solidFill>
                <a:srgbClr val="33CCCC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1574525700143723E-2"/>
                  <c:y val="-2.768400507259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3F-4739-A2DC-D9FCCA689C63}"/>
                </c:ext>
              </c:extLst>
            </c:dLbl>
            <c:dLbl>
              <c:idx val="1"/>
              <c:layout>
                <c:manualLayout>
                  <c:x val="1.9134690616104288E-2"/>
                  <c:y val="-3.2983425849850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3F-4739-A2DC-D9FCCA689C63}"/>
                </c:ext>
              </c:extLst>
            </c:dLbl>
            <c:dLbl>
              <c:idx val="2"/>
              <c:layout>
                <c:manualLayout>
                  <c:x val="1.8238417872184554E-2"/>
                  <c:y val="-2.05913737410591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3F-4739-A2DC-D9FCCA689C63}"/>
                </c:ext>
              </c:extLst>
            </c:dLbl>
            <c:dLbl>
              <c:idx val="3"/>
              <c:layout>
                <c:manualLayout>
                  <c:x val="2.7912747693007722E-2"/>
                  <c:y val="-3.5068196039207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3F-4739-A2DC-D9FCCA689C63}"/>
                </c:ext>
              </c:extLst>
            </c:dLbl>
            <c:dLbl>
              <c:idx val="4"/>
              <c:layout>
                <c:manualLayout>
                  <c:x val="2.0673758274930232E-2"/>
                  <c:y val="-2.43045545991932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3F-4739-A2DC-D9FCCA689C63}"/>
                </c:ext>
              </c:extLst>
            </c:dLbl>
            <c:dLbl>
              <c:idx val="5"/>
              <c:layout>
                <c:manualLayout>
                  <c:x val="2.4005593381165591E-2"/>
                  <c:y val="-3.5725981062265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3F-4739-A2DC-D9FCCA689C63}"/>
                </c:ext>
              </c:extLst>
            </c:dLbl>
            <c:dLbl>
              <c:idx val="6"/>
              <c:layout>
                <c:manualLayout>
                  <c:x val="2.5223263582538458E-2"/>
                  <c:y val="-1.56630781001396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3F-4739-A2DC-D9FCCA689C63}"/>
                </c:ext>
              </c:extLst>
            </c:dLbl>
            <c:dLbl>
              <c:idx val="7"/>
              <c:layout>
                <c:manualLayout>
                  <c:x val="2.432676887904861E-2"/>
                  <c:y val="-2.40075769108413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3F-4739-A2DC-D9FCCA689C63}"/>
                </c:ext>
              </c:extLst>
            </c:dLbl>
            <c:dLbl>
              <c:idx val="8"/>
              <c:layout>
                <c:manualLayout>
                  <c:x val="2.5544661039991534E-2"/>
                  <c:y val="-3.2657304240111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3F-4739-A2DC-D9FCCA689C63}"/>
                </c:ext>
              </c:extLst>
            </c:dLbl>
            <c:dLbl>
              <c:idx val="9"/>
              <c:layout>
                <c:manualLayout>
                  <c:x val="1.6191506717051385E-2"/>
                  <c:y val="-2.35620468386109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3F-4739-A2DC-D9FCCA689C63}"/>
                </c:ext>
              </c:extLst>
            </c:dLbl>
            <c:dLbl>
              <c:idx val="10"/>
              <c:layout>
                <c:manualLayout>
                  <c:xMode val="edge"/>
                  <c:yMode val="edge"/>
                  <c:x val="0.75898520084566601"/>
                  <c:y val="1.831508383085734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7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3F-4739-A2DC-D9FCCA689C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00" b="1" i="0" u="none" strike="noStrike" baseline="0">
                    <a:solidFill>
                      <a:srgbClr val="0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GRAFICO!$K$2:$K$11</c:f>
              <c:numCache>
                <c:formatCode>General</c:formatCode>
                <c:ptCount val="10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</c:numCache>
            </c:numRef>
          </c:cat>
          <c:val>
            <c:numRef>
              <c:f>GRAFICO!$L$2:$L$11</c:f>
              <c:numCache>
                <c:formatCode>General</c:formatCode>
                <c:ptCount val="10"/>
                <c:pt idx="0">
                  <c:v>4637</c:v>
                </c:pt>
                <c:pt idx="1">
                  <c:v>3948</c:v>
                </c:pt>
                <c:pt idx="2">
                  <c:v>2916</c:v>
                </c:pt>
                <c:pt idx="3">
                  <c:v>3171</c:v>
                </c:pt>
                <c:pt idx="4">
                  <c:v>3282</c:v>
                </c:pt>
                <c:pt idx="5">
                  <c:v>2715</c:v>
                </c:pt>
                <c:pt idx="6">
                  <c:v>2813</c:v>
                </c:pt>
                <c:pt idx="7">
                  <c:v>3087</c:v>
                </c:pt>
                <c:pt idx="8">
                  <c:v>3105</c:v>
                </c:pt>
                <c:pt idx="9">
                  <c:v>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3F-4739-A2DC-D9FCCA689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gapDepth val="0"/>
        <c:shape val="box"/>
        <c:axId val="249944520"/>
        <c:axId val="250458800"/>
        <c:axId val="0"/>
      </c:bar3DChart>
      <c:catAx>
        <c:axId val="24994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50458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0458800"/>
        <c:scaling>
          <c:orientation val="minMax"/>
          <c:max val="5500"/>
          <c:min val="5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499445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0">
      <a:gsLst>
        <a:gs pos="0">
          <a:srgbClr xmlns:mc="http://schemas.openxmlformats.org/markup-compatibility/2006" xmlns:a14="http://schemas.microsoft.com/office/drawing/2010/main" val="DCDCDC" mc:Ignorable="a14" a14:legacySpreadsheetColorIndex="65">
            <a:gamma/>
            <a:shade val="86275"/>
            <a:invGamma/>
          </a:srgbClr>
        </a:gs>
        <a:gs pos="100000">
          <a:srgbClr xmlns:mc="http://schemas.openxmlformats.org/markup-compatibility/2006" xmlns:a14="http://schemas.microsoft.com/office/drawing/2010/main" val="FFFFFF" mc:Ignorable="a14" a14:legacySpreadsheetColorIndex="65"/>
        </a:gs>
      </a:gsLst>
      <a:path path="rect">
        <a:fillToRect l="50000" t="50000" r="50000" b="50000"/>
      </a:path>
    </a:gradFill>
    <a:ln w="38100">
      <a:solidFill>
        <a:srgbClr val="33CCCC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120" verticalDpi="144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2</xdr:col>
      <xdr:colOff>0</xdr:colOff>
      <xdr:row>26</xdr:row>
      <xdr:rowOff>0</xdr:rowOff>
    </xdr:to>
    <xdr:graphicFrame macro="">
      <xdr:nvGraphicFramePr>
        <xdr:cNvPr id="12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390526</xdr:colOff>
      <xdr:row>4</xdr:row>
      <xdr:rowOff>19050</xdr:rowOff>
    </xdr:from>
    <xdr:to>
      <xdr:col>20</xdr:col>
      <xdr:colOff>495300</xdr:colOff>
      <xdr:row>22</xdr:row>
      <xdr:rowOff>0</xdr:rowOff>
    </xdr:to>
    <xdr:graphicFrame macro="">
      <xdr:nvGraphicFramePr>
        <xdr:cNvPr id="1216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371477</xdr:colOff>
      <xdr:row>0</xdr:row>
      <xdr:rowOff>66675</xdr:rowOff>
    </xdr:from>
    <xdr:to>
      <xdr:col>13</xdr:col>
      <xdr:colOff>2401</xdr:colOff>
      <xdr:row>3</xdr:row>
      <xdr:rowOff>8917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2" y="66675"/>
          <a:ext cx="1212074" cy="485167"/>
        </a:xfrm>
        <a:prstGeom prst="rect">
          <a:avLst/>
        </a:prstGeom>
      </xdr:spPr>
    </xdr:pic>
    <xdr:clientData/>
  </xdr:twoCellAnchor>
  <xdr:twoCellAnchor editAs="oneCell">
    <xdr:from>
      <xdr:col>10</xdr:col>
      <xdr:colOff>369077</xdr:colOff>
      <xdr:row>0</xdr:row>
      <xdr:rowOff>64277</xdr:rowOff>
    </xdr:from>
    <xdr:to>
      <xdr:col>13</xdr:col>
      <xdr:colOff>1</xdr:colOff>
      <xdr:row>3</xdr:row>
      <xdr:rowOff>8210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5802" y="64277"/>
          <a:ext cx="1212074" cy="486858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0.20953</cdr:x>
      <cdr:y>0.8437</cdr:y>
    </cdr:from>
    <cdr:to>
      <cdr:x>0.20953</cdr:x>
      <cdr:y>0.93115</cdr:y>
    </cdr:to>
    <cdr:sp macro="" textlink="">
      <cdr:nvSpPr>
        <cdr:cNvPr id="205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194766" y="621967"/>
          <a:ext cx="0" cy="6413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PE"/>
        </a:p>
      </cdr:txBody>
    </cdr:sp>
  </cdr:relSizeAnchor>
  <cdr:relSizeAnchor xmlns:cdr="http://schemas.openxmlformats.org/drawingml/2006/chartDrawing">
    <cdr:from>
      <cdr:x>0.25968</cdr:x>
      <cdr:y>0</cdr:y>
    </cdr:from>
    <cdr:to>
      <cdr:x>0.94863</cdr:x>
      <cdr:y>1</cdr:y>
    </cdr:to>
    <cdr:sp macro="" textlink="">
      <cdr:nvSpPr>
        <cdr:cNvPr id="2051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7449" y="-82042"/>
          <a:ext cx="629981" cy="1640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P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( Miles de t 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1</xdr:row>
      <xdr:rowOff>76200</xdr:rowOff>
    </xdr:from>
    <xdr:to>
      <xdr:col>7</xdr:col>
      <xdr:colOff>409575</xdr:colOff>
      <xdr:row>19</xdr:row>
      <xdr:rowOff>104775</xdr:rowOff>
    </xdr:to>
    <xdr:graphicFrame macro="">
      <xdr:nvGraphicFramePr>
        <xdr:cNvPr id="49333" name="Gráfico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657225</xdr:colOff>
      <xdr:row>22</xdr:row>
      <xdr:rowOff>85725</xdr:rowOff>
    </xdr:from>
    <xdr:to>
      <xdr:col>5</xdr:col>
      <xdr:colOff>66675</xdr:colOff>
      <xdr:row>24</xdr:row>
      <xdr:rowOff>104775</xdr:rowOff>
    </xdr:to>
    <xdr:sp macro="[0]!Autoforma1026_AlHacerClic" textlink="">
      <xdr:nvSpPr>
        <xdr:cNvPr id="49154" name="AutoShape 1026"/>
        <xdr:cNvSpPr>
          <a:spLocks noChangeArrowheads="1"/>
        </xdr:cNvSpPr>
      </xdr:nvSpPr>
      <xdr:spPr bwMode="auto">
        <a:xfrm>
          <a:off x="3095625" y="3228975"/>
          <a:ext cx="790575" cy="3048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  <a:round/>
          <a:headEnd/>
          <a:tailEnd/>
        </a:ln>
        <a:effectLst>
          <a:prstShdw prst="shdw13" dist="63500" dir="3187806">
            <a:srgbClr val="808080"/>
          </a:prstShdw>
        </a:effectLst>
      </xdr:spPr>
      <xdr:txBody>
        <a:bodyPr vertOverflow="clip" wrap="square" lIns="36576" tIns="41148" rIns="36576" bIns="0" anchor="t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008080"/>
              </a:solidFill>
              <a:latin typeface="Comic Sans MS"/>
            </a:rPr>
            <a:t>VOLVER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0.01055</cdr:x>
      <cdr:y>0.27165</cdr:y>
    </cdr:from>
    <cdr:to>
      <cdr:x>0.01275</cdr:x>
      <cdr:y>0.30441</cdr:y>
    </cdr:to>
    <cdr:sp macro="" textlink="">
      <cdr:nvSpPr>
        <cdr:cNvPr id="50177" name="Texto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712140"/>
          <a:ext cx="9944" cy="85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(Miles de t)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>
    <pageSetUpPr autoPageBreaks="0"/>
  </sheetPr>
  <dimension ref="A1:W54"/>
  <sheetViews>
    <sheetView showGridLines="0" tabSelected="1" zoomScaleNormal="100" workbookViewId="0">
      <selection activeCell="I29" sqref="I29"/>
    </sheetView>
  </sheetViews>
  <sheetFormatPr baseColWidth="10" defaultRowHeight="12.75" customHeight="1" x14ac:dyDescent="0.2"/>
  <cols>
    <col min="1" max="1" width="1.7109375" customWidth="1"/>
    <col min="2" max="2" width="7.5703125" customWidth="1"/>
    <col min="3" max="12" width="6.85546875" customWidth="1"/>
    <col min="13" max="13" width="10" customWidth="1"/>
    <col min="14" max="14" width="6" customWidth="1"/>
    <col min="15" max="15" width="8" customWidth="1"/>
    <col min="16" max="16" width="13.28515625" customWidth="1"/>
  </cols>
  <sheetData>
    <row r="1" spans="1:23" ht="15.75" customHeight="1" x14ac:dyDescent="0.2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8"/>
      <c r="Q1" s="18"/>
      <c r="R1" s="18"/>
      <c r="S1" s="17"/>
      <c r="T1" s="17"/>
      <c r="U1" s="1"/>
      <c r="V1" s="1"/>
      <c r="W1" s="1"/>
    </row>
    <row r="2" spans="1:23" ht="12" customHeight="1" x14ac:dyDescent="0.25">
      <c r="A2" s="30"/>
      <c r="B2" s="31" t="s">
        <v>2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3"/>
      <c r="N2" s="30"/>
      <c r="O2" s="30"/>
      <c r="P2" s="30"/>
      <c r="Q2" s="30"/>
      <c r="R2" s="30"/>
      <c r="S2" s="30"/>
      <c r="T2" s="30"/>
      <c r="U2" s="1"/>
      <c r="V2" s="1"/>
      <c r="W2" s="1"/>
    </row>
    <row r="3" spans="1:23" ht="15" customHeight="1" x14ac:dyDescent="0.25">
      <c r="A3" s="30"/>
      <c r="B3" s="32" t="s">
        <v>3</v>
      </c>
      <c r="C3" s="32"/>
      <c r="D3" s="34"/>
      <c r="E3" s="34"/>
      <c r="F3" s="34"/>
      <c r="G3" s="32"/>
      <c r="H3" s="32"/>
      <c r="I3" s="32"/>
      <c r="J3" s="32"/>
      <c r="K3" s="32"/>
      <c r="L3" s="32"/>
      <c r="M3" s="30"/>
      <c r="N3" s="30"/>
      <c r="O3" s="30"/>
      <c r="P3" s="30"/>
      <c r="Q3" s="30"/>
      <c r="R3" s="30"/>
      <c r="S3" s="30"/>
      <c r="T3" s="30"/>
      <c r="U3" s="1"/>
      <c r="V3" s="1"/>
      <c r="W3" s="1"/>
    </row>
    <row r="4" spans="1:23" ht="3.75" customHeight="1" x14ac:dyDescent="0.25">
      <c r="A4" s="30"/>
      <c r="B4" s="30"/>
      <c r="C4" s="35"/>
      <c r="D4" s="35"/>
      <c r="E4" s="35"/>
      <c r="F4" s="35"/>
      <c r="G4" s="35"/>
      <c r="H4" s="35"/>
      <c r="I4" s="35"/>
      <c r="J4" s="35"/>
      <c r="K4" s="35"/>
      <c r="L4" s="35"/>
      <c r="M4" s="30"/>
      <c r="N4" s="30"/>
      <c r="O4" s="30"/>
      <c r="P4" s="30"/>
      <c r="Q4" s="30"/>
      <c r="R4" s="30"/>
      <c r="S4" s="30"/>
      <c r="T4" s="30"/>
      <c r="U4" s="1"/>
      <c r="V4" s="1"/>
      <c r="W4" s="1"/>
    </row>
    <row r="5" spans="1:23" ht="15" customHeight="1" x14ac:dyDescent="0.25">
      <c r="A5" s="30"/>
      <c r="B5" s="55" t="s">
        <v>4</v>
      </c>
      <c r="C5" s="57" t="s">
        <v>5</v>
      </c>
      <c r="D5" s="57"/>
      <c r="E5" s="57"/>
      <c r="F5" s="57"/>
      <c r="G5" s="57"/>
      <c r="H5" s="57"/>
      <c r="I5" s="57"/>
      <c r="J5" s="57"/>
      <c r="K5" s="57"/>
      <c r="L5" s="57"/>
      <c r="M5" s="58" t="s">
        <v>6</v>
      </c>
      <c r="N5" s="30"/>
      <c r="O5" s="30"/>
      <c r="P5" s="30"/>
      <c r="Q5" s="30"/>
      <c r="R5" s="30"/>
      <c r="S5" s="30"/>
      <c r="T5" s="30"/>
      <c r="U5" s="1"/>
      <c r="V5" s="1"/>
      <c r="W5" s="1"/>
    </row>
    <row r="6" spans="1:23" ht="15" customHeight="1" x14ac:dyDescent="0.25">
      <c r="A6" s="30"/>
      <c r="B6" s="56"/>
      <c r="C6" s="25">
        <v>2012</v>
      </c>
      <c r="D6" s="25">
        <v>2013</v>
      </c>
      <c r="E6" s="25">
        <v>2014</v>
      </c>
      <c r="F6" s="25">
        <v>2015</v>
      </c>
      <c r="G6" s="25">
        <v>2016</v>
      </c>
      <c r="H6" s="25">
        <v>2017</v>
      </c>
      <c r="I6" s="25">
        <v>2018</v>
      </c>
      <c r="J6" s="25">
        <v>2019</v>
      </c>
      <c r="K6" s="25">
        <v>2020</v>
      </c>
      <c r="L6" s="25" t="s">
        <v>1</v>
      </c>
      <c r="M6" s="59"/>
      <c r="N6" s="30"/>
      <c r="O6" s="30"/>
      <c r="P6" s="23">
        <v>2</v>
      </c>
      <c r="Q6" s="30"/>
      <c r="R6" s="30"/>
      <c r="S6" s="30"/>
      <c r="T6" s="30"/>
      <c r="U6" s="1"/>
      <c r="V6" s="1"/>
      <c r="W6" s="1"/>
    </row>
    <row r="7" spans="1:23" ht="1.5" customHeight="1" x14ac:dyDescent="0.25">
      <c r="A7" s="30"/>
      <c r="B7" s="36"/>
      <c r="C7" s="30"/>
      <c r="D7" s="30"/>
      <c r="E7" s="30"/>
      <c r="F7" s="30"/>
      <c r="G7" s="30"/>
      <c r="H7" s="30"/>
      <c r="I7" s="30"/>
      <c r="J7" s="30"/>
      <c r="K7" s="30"/>
      <c r="L7" s="30"/>
      <c r="M7" s="26"/>
      <c r="N7" s="30"/>
      <c r="O7" s="30"/>
      <c r="P7" s="30"/>
      <c r="Q7" s="30"/>
      <c r="R7" s="30"/>
      <c r="S7" s="30"/>
      <c r="T7" s="30"/>
      <c r="U7" s="1"/>
      <c r="V7" s="1"/>
      <c r="W7" s="1"/>
    </row>
    <row r="8" spans="1:23" ht="12" customHeight="1" x14ac:dyDescent="0.25">
      <c r="A8" s="30"/>
      <c r="B8" s="37" t="s">
        <v>7</v>
      </c>
      <c r="C8" s="38">
        <f t="shared" ref="C8:L8" si="0">SUM(C10:C21)</f>
        <v>6684.5389999999998</v>
      </c>
      <c r="D8" s="38">
        <f t="shared" si="0"/>
        <v>6680.6589620000013</v>
      </c>
      <c r="E8" s="38">
        <f t="shared" si="0"/>
        <v>7192.5919999999996</v>
      </c>
      <c r="F8" s="38">
        <f t="shared" si="0"/>
        <v>7320.8069999999998</v>
      </c>
      <c r="G8" s="38">
        <f t="shared" si="0"/>
        <v>7663.1239877000007</v>
      </c>
      <c r="H8" s="38">
        <f t="shared" si="0"/>
        <v>8806.4509999999991</v>
      </c>
      <c r="I8" s="38">
        <f t="shared" si="0"/>
        <v>9533.871000000001</v>
      </c>
      <c r="J8" s="38">
        <f t="shared" si="0"/>
        <v>10120.008</v>
      </c>
      <c r="K8" s="38">
        <f t="shared" si="0"/>
        <v>8893.9713999999985</v>
      </c>
      <c r="L8" s="38">
        <f t="shared" si="0"/>
        <v>12149.32</v>
      </c>
      <c r="M8" s="39">
        <f>L8/K8*100-100</f>
        <v>36.601743513589469</v>
      </c>
      <c r="N8" s="30"/>
      <c r="O8" s="30"/>
      <c r="P8" s="30"/>
      <c r="Q8" s="30"/>
      <c r="R8" s="30"/>
      <c r="S8" s="30"/>
      <c r="T8" s="30"/>
      <c r="U8" s="1"/>
      <c r="V8" s="1"/>
      <c r="W8" s="1"/>
    </row>
    <row r="9" spans="1:23" ht="1.5" customHeight="1" x14ac:dyDescent="0.25">
      <c r="A9" s="30"/>
      <c r="B9" s="37"/>
      <c r="C9" s="40"/>
      <c r="D9" s="40"/>
      <c r="E9" s="40"/>
      <c r="F9" s="40"/>
      <c r="G9" s="40"/>
      <c r="H9" s="40"/>
      <c r="I9" s="40"/>
      <c r="J9" s="40"/>
      <c r="K9" s="40"/>
      <c r="L9" s="40"/>
      <c r="M9" s="41"/>
      <c r="N9" s="30"/>
      <c r="O9" s="30"/>
      <c r="P9" s="30"/>
      <c r="Q9" s="30"/>
      <c r="R9" s="30"/>
      <c r="S9" s="30"/>
      <c r="T9" s="30"/>
      <c r="U9" s="1"/>
      <c r="V9" s="1"/>
      <c r="W9" s="1"/>
    </row>
    <row r="10" spans="1:23" ht="12" customHeight="1" x14ac:dyDescent="0.25">
      <c r="A10" s="30"/>
      <c r="B10" s="36" t="s">
        <v>8</v>
      </c>
      <c r="C10" s="42">
        <v>522.4</v>
      </c>
      <c r="D10" s="43">
        <v>589.90200000000004</v>
      </c>
      <c r="E10" s="43">
        <v>644.21799999999996</v>
      </c>
      <c r="F10" s="43">
        <v>733.00800000000004</v>
      </c>
      <c r="G10" s="43">
        <v>696.39917100000002</v>
      </c>
      <c r="H10" s="43">
        <v>741.37300000000005</v>
      </c>
      <c r="I10" s="43">
        <v>985.95500000000004</v>
      </c>
      <c r="J10" s="44">
        <v>600.44600000000003</v>
      </c>
      <c r="K10" s="44">
        <v>997.17600000000004</v>
      </c>
      <c r="L10" s="44">
        <v>1129.03</v>
      </c>
      <c r="M10" s="45">
        <f t="shared" ref="M10:M21" si="1">L10/K10*100-100</f>
        <v>13.222741020642289</v>
      </c>
      <c r="N10" s="30"/>
      <c r="O10" s="30"/>
      <c r="P10" s="30"/>
      <c r="Q10" s="30"/>
      <c r="R10" s="30"/>
      <c r="S10" s="30"/>
      <c r="T10" s="30"/>
      <c r="U10" s="1"/>
      <c r="V10" s="1"/>
      <c r="W10" s="1"/>
    </row>
    <row r="11" spans="1:23" ht="12" customHeight="1" x14ac:dyDescent="0.25">
      <c r="A11" s="30"/>
      <c r="B11" s="36" t="s">
        <v>9</v>
      </c>
      <c r="C11" s="42">
        <v>372.5</v>
      </c>
      <c r="D11" s="43">
        <v>551.63300000000004</v>
      </c>
      <c r="E11" s="43">
        <v>617.02300000000002</v>
      </c>
      <c r="F11" s="43">
        <v>659.29200000000003</v>
      </c>
      <c r="G11" s="43">
        <v>636.2122928</v>
      </c>
      <c r="H11" s="43">
        <v>667.31299999999999</v>
      </c>
      <c r="I11" s="43">
        <v>942.04200000000003</v>
      </c>
      <c r="J11" s="44">
        <v>586.32799999999997</v>
      </c>
      <c r="K11" s="44">
        <v>979.37649999999996</v>
      </c>
      <c r="L11" s="44">
        <v>888.45</v>
      </c>
      <c r="M11" s="45">
        <f t="shared" si="1"/>
        <v>-9.2841210709058117</v>
      </c>
      <c r="N11" s="30"/>
      <c r="O11" s="30"/>
      <c r="P11" s="30"/>
      <c r="Q11" s="30"/>
      <c r="R11" s="30"/>
      <c r="S11" s="30"/>
      <c r="T11" s="30"/>
      <c r="U11" s="1"/>
      <c r="V11" s="1"/>
      <c r="W11" s="1"/>
    </row>
    <row r="12" spans="1:23" ht="12" customHeight="1" x14ac:dyDescent="0.25">
      <c r="A12" s="30"/>
      <c r="B12" s="36" t="s">
        <v>10</v>
      </c>
      <c r="C12" s="42">
        <v>572.4</v>
      </c>
      <c r="D12" s="43">
        <v>687.05</v>
      </c>
      <c r="E12" s="43">
        <v>768.10799999999995</v>
      </c>
      <c r="F12" s="43">
        <v>892.66499999999996</v>
      </c>
      <c r="G12" s="43">
        <v>763.35552749999999</v>
      </c>
      <c r="H12" s="43">
        <v>833.36900000000003</v>
      </c>
      <c r="I12" s="43">
        <v>900.04700000000003</v>
      </c>
      <c r="J12" s="44">
        <v>801.47900000000004</v>
      </c>
      <c r="K12" s="44">
        <v>461.50529999999998</v>
      </c>
      <c r="L12" s="44">
        <v>814.68</v>
      </c>
      <c r="M12" s="45">
        <f t="shared" si="1"/>
        <v>76.526683442205325</v>
      </c>
      <c r="N12" s="30"/>
      <c r="O12" s="30"/>
      <c r="P12" s="30"/>
      <c r="Q12" s="30"/>
      <c r="R12" s="30"/>
      <c r="S12" s="30"/>
      <c r="T12" s="30"/>
      <c r="U12" s="1"/>
      <c r="V12" s="1"/>
      <c r="W12" s="1"/>
    </row>
    <row r="13" spans="1:23" ht="12" customHeight="1" x14ac:dyDescent="0.25">
      <c r="A13" s="30"/>
      <c r="B13" s="36" t="s">
        <v>11</v>
      </c>
      <c r="C13" s="42">
        <v>493.5</v>
      </c>
      <c r="D13" s="43">
        <v>618.74300000000005</v>
      </c>
      <c r="E13" s="43">
        <v>668.79700000000003</v>
      </c>
      <c r="F13" s="43">
        <v>668.04499999999996</v>
      </c>
      <c r="G13" s="43">
        <v>661.14783750000004</v>
      </c>
      <c r="H13" s="43">
        <v>718.22699999999998</v>
      </c>
      <c r="I13" s="43">
        <v>769.94500000000005</v>
      </c>
      <c r="J13" s="44">
        <v>559.44299999999998</v>
      </c>
      <c r="K13" s="44" t="s">
        <v>12</v>
      </c>
      <c r="L13" s="44">
        <v>1028.6099999999999</v>
      </c>
      <c r="M13" s="45" t="s">
        <v>12</v>
      </c>
      <c r="N13" s="30"/>
      <c r="O13" s="30"/>
      <c r="P13" s="30"/>
      <c r="Q13" s="30"/>
      <c r="R13" s="30"/>
      <c r="S13" s="30"/>
      <c r="T13" s="30"/>
      <c r="U13" s="1"/>
      <c r="V13" s="1"/>
      <c r="W13" s="1"/>
    </row>
    <row r="14" spans="1:23" ht="12" customHeight="1" x14ac:dyDescent="0.25">
      <c r="A14" s="30"/>
      <c r="B14" s="36" t="s">
        <v>13</v>
      </c>
      <c r="C14" s="42">
        <v>560.29999999999995</v>
      </c>
      <c r="D14" s="43">
        <v>609.41300000000001</v>
      </c>
      <c r="E14" s="43">
        <v>699.89700000000005</v>
      </c>
      <c r="F14" s="43">
        <v>522.28700000000003</v>
      </c>
      <c r="G14" s="43">
        <v>704.67385100000001</v>
      </c>
      <c r="H14" s="43">
        <v>816.71100000000001</v>
      </c>
      <c r="I14" s="43">
        <v>816.64700000000005</v>
      </c>
      <c r="J14" s="44">
        <v>992.00900000000001</v>
      </c>
      <c r="K14" s="44" t="s">
        <v>12</v>
      </c>
      <c r="L14" s="44">
        <v>1060.57</v>
      </c>
      <c r="M14" s="45" t="s">
        <v>12</v>
      </c>
      <c r="N14" s="30"/>
      <c r="O14" s="30"/>
      <c r="P14" s="30"/>
      <c r="Q14" s="30"/>
      <c r="R14" s="30"/>
      <c r="S14" s="30"/>
      <c r="T14" s="30"/>
      <c r="U14" s="1"/>
      <c r="V14" s="1"/>
      <c r="W14" s="1"/>
    </row>
    <row r="15" spans="1:23" ht="12" customHeight="1" x14ac:dyDescent="0.25">
      <c r="A15" s="30"/>
      <c r="B15" s="36" t="s">
        <v>14</v>
      </c>
      <c r="C15" s="42">
        <v>773.3</v>
      </c>
      <c r="D15" s="43">
        <v>751.745</v>
      </c>
      <c r="E15" s="43">
        <v>781.58799999999997</v>
      </c>
      <c r="F15" s="43">
        <v>731.41</v>
      </c>
      <c r="G15" s="43">
        <v>721.88918460000002</v>
      </c>
      <c r="H15" s="43">
        <v>805.55600000000004</v>
      </c>
      <c r="I15" s="43">
        <v>615.83000000000004</v>
      </c>
      <c r="J15" s="44">
        <v>927.601</v>
      </c>
      <c r="K15" s="44">
        <v>393.74079999999998</v>
      </c>
      <c r="L15" s="44">
        <v>1123.56</v>
      </c>
      <c r="M15" s="45">
        <f t="shared" si="1"/>
        <v>185.35523877637269</v>
      </c>
      <c r="N15" s="30"/>
      <c r="O15" s="30"/>
      <c r="P15" s="30"/>
      <c r="Q15" s="30"/>
      <c r="R15" s="30"/>
      <c r="S15" s="30"/>
      <c r="T15" s="30"/>
      <c r="U15" s="1"/>
      <c r="V15" s="1"/>
      <c r="W15" s="1"/>
    </row>
    <row r="16" spans="1:23" ht="12" customHeight="1" x14ac:dyDescent="0.25">
      <c r="A16" s="30"/>
      <c r="B16" s="36" t="s">
        <v>15</v>
      </c>
      <c r="C16" s="43">
        <v>616.899</v>
      </c>
      <c r="D16" s="43">
        <v>575.14400000000001</v>
      </c>
      <c r="E16" s="43">
        <v>652.03300000000002</v>
      </c>
      <c r="F16" s="43">
        <v>646.27499999999998</v>
      </c>
      <c r="G16" s="43">
        <v>652.7720898</v>
      </c>
      <c r="H16" s="43">
        <v>748.30700000000002</v>
      </c>
      <c r="I16" s="43">
        <v>687.6</v>
      </c>
      <c r="J16" s="44">
        <v>840.53700000000003</v>
      </c>
      <c r="K16" s="44">
        <v>775.84590000000003</v>
      </c>
      <c r="L16" s="44">
        <v>1179.1300000000001</v>
      </c>
      <c r="M16" s="45">
        <f t="shared" si="1"/>
        <v>51.97992281714707</v>
      </c>
      <c r="N16" s="30"/>
      <c r="O16" s="30"/>
      <c r="P16" s="30"/>
      <c r="Q16" s="30"/>
      <c r="R16" s="30"/>
      <c r="S16" s="30"/>
      <c r="T16" s="30"/>
      <c r="U16" s="1"/>
      <c r="V16" s="1"/>
      <c r="W16" s="1"/>
    </row>
    <row r="17" spans="1:23" ht="12" customHeight="1" x14ac:dyDescent="0.25">
      <c r="A17" s="30"/>
      <c r="B17" s="36" t="s">
        <v>16</v>
      </c>
      <c r="C17" s="46">
        <v>567.4</v>
      </c>
      <c r="D17" s="47">
        <v>289.738</v>
      </c>
      <c r="E17" s="47">
        <v>356.73099999999999</v>
      </c>
      <c r="F17" s="47">
        <v>668.73</v>
      </c>
      <c r="G17" s="47">
        <v>692.5002336</v>
      </c>
      <c r="H17" s="47">
        <v>727.84199999999998</v>
      </c>
      <c r="I17" s="47">
        <v>981.56799999999998</v>
      </c>
      <c r="J17" s="48">
        <v>892.83399999999995</v>
      </c>
      <c r="K17" s="48">
        <v>1002.0642</v>
      </c>
      <c r="L17" s="48">
        <v>1136.29</v>
      </c>
      <c r="M17" s="45">
        <f t="shared" si="1"/>
        <v>13.394930185111889</v>
      </c>
      <c r="N17" s="30"/>
      <c r="O17" s="30"/>
      <c r="P17" s="30"/>
      <c r="Q17" s="30"/>
      <c r="R17" s="30"/>
      <c r="S17" s="30"/>
      <c r="T17" s="30"/>
      <c r="U17" s="1"/>
      <c r="V17" s="1"/>
      <c r="W17" s="1"/>
    </row>
    <row r="18" spans="1:23" ht="12" customHeight="1" x14ac:dyDescent="0.25">
      <c r="A18" s="30"/>
      <c r="B18" s="36" t="s">
        <v>17</v>
      </c>
      <c r="C18" s="46">
        <v>892.5</v>
      </c>
      <c r="D18" s="47">
        <v>361.22699999999998</v>
      </c>
      <c r="E18" s="47">
        <v>518.75199999999995</v>
      </c>
      <c r="F18" s="47">
        <v>405.47300000000001</v>
      </c>
      <c r="G18" s="47">
        <v>263.28918449999998</v>
      </c>
      <c r="H18" s="47">
        <v>717.83699999999999</v>
      </c>
      <c r="I18" s="47">
        <v>908.39300000000003</v>
      </c>
      <c r="J18" s="48">
        <v>754.67100000000005</v>
      </c>
      <c r="K18" s="48">
        <v>1025.3307</v>
      </c>
      <c r="L18" s="48">
        <v>836.3</v>
      </c>
      <c r="M18" s="45">
        <f t="shared" si="1"/>
        <v>-18.436071406035154</v>
      </c>
      <c r="N18" s="30"/>
      <c r="O18" s="30"/>
      <c r="P18" s="30"/>
      <c r="Q18" s="30"/>
      <c r="R18" s="30"/>
      <c r="S18" s="30"/>
      <c r="T18" s="30"/>
      <c r="U18" s="1"/>
      <c r="V18" s="1"/>
      <c r="W18" s="1"/>
    </row>
    <row r="19" spans="1:23" ht="12" customHeight="1" x14ac:dyDescent="0.25">
      <c r="A19" s="30"/>
      <c r="B19" s="36" t="s">
        <v>18</v>
      </c>
      <c r="C19" s="46">
        <v>139.9</v>
      </c>
      <c r="D19" s="47">
        <v>635.63099999999997</v>
      </c>
      <c r="E19" s="47">
        <v>664.71600000000001</v>
      </c>
      <c r="F19" s="47">
        <v>497.24700000000001</v>
      </c>
      <c r="G19" s="47">
        <v>590.51192400000002</v>
      </c>
      <c r="H19" s="47">
        <v>276.267</v>
      </c>
      <c r="I19" s="47">
        <v>460.68700000000001</v>
      </c>
      <c r="J19" s="48">
        <v>883.23299999999995</v>
      </c>
      <c r="K19" s="48">
        <v>1092.9716000000001</v>
      </c>
      <c r="L19" s="48">
        <v>1199.6099999999999</v>
      </c>
      <c r="M19" s="45">
        <f t="shared" si="1"/>
        <v>9.7567402483284837</v>
      </c>
      <c r="N19" s="30"/>
      <c r="O19" s="30"/>
      <c r="P19" s="30"/>
      <c r="Q19" s="30"/>
      <c r="R19" s="30"/>
      <c r="S19" s="30"/>
      <c r="T19" s="30"/>
      <c r="U19" s="1"/>
      <c r="V19" s="1"/>
      <c r="W19" s="1"/>
    </row>
    <row r="20" spans="1:23" ht="12" customHeight="1" x14ac:dyDescent="0.25">
      <c r="A20" s="30"/>
      <c r="B20" s="36" t="s">
        <v>19</v>
      </c>
      <c r="C20" s="46">
        <v>539.1</v>
      </c>
      <c r="D20" s="47">
        <v>577.29700000000003</v>
      </c>
      <c r="E20" s="47">
        <v>481.53199999999998</v>
      </c>
      <c r="F20" s="47">
        <v>418.79300000000001</v>
      </c>
      <c r="G20" s="47">
        <v>697.10844959999997</v>
      </c>
      <c r="H20" s="47">
        <v>901.25300000000004</v>
      </c>
      <c r="I20" s="47">
        <v>569.21400000000006</v>
      </c>
      <c r="J20" s="48">
        <v>1108.329</v>
      </c>
      <c r="K20" s="48">
        <v>1185.8317999999999</v>
      </c>
      <c r="L20" s="48">
        <v>998.49</v>
      </c>
      <c r="M20" s="45">
        <f t="shared" si="1"/>
        <v>-15.798345094135598</v>
      </c>
      <c r="N20" s="30"/>
      <c r="O20" s="30"/>
      <c r="P20" s="30"/>
      <c r="Q20" s="30"/>
      <c r="R20" s="30"/>
      <c r="S20" s="30"/>
      <c r="T20" s="30"/>
      <c r="U20" s="1"/>
      <c r="V20" s="1"/>
      <c r="W20" s="1"/>
    </row>
    <row r="21" spans="1:23" ht="12" customHeight="1" x14ac:dyDescent="0.25">
      <c r="A21" s="30"/>
      <c r="B21" s="36" t="s">
        <v>20</v>
      </c>
      <c r="C21" s="47">
        <v>634.34</v>
      </c>
      <c r="D21" s="49">
        <v>433.13596200000001</v>
      </c>
      <c r="E21" s="49">
        <v>339.197</v>
      </c>
      <c r="F21" s="49">
        <v>477.58199999999999</v>
      </c>
      <c r="G21" s="49">
        <v>583.26424180000004</v>
      </c>
      <c r="H21" s="49">
        <v>852.39599999999996</v>
      </c>
      <c r="I21" s="49">
        <v>895.94299999999998</v>
      </c>
      <c r="J21" s="50">
        <v>1173.098</v>
      </c>
      <c r="K21" s="50">
        <v>980.12860000000001</v>
      </c>
      <c r="L21" s="50">
        <v>754.6</v>
      </c>
      <c r="M21" s="45">
        <f t="shared" si="1"/>
        <v>-23.010102959958516</v>
      </c>
      <c r="N21" s="30"/>
      <c r="O21" s="30"/>
      <c r="P21" s="30"/>
      <c r="Q21" s="30"/>
      <c r="R21" s="30"/>
      <c r="S21" s="30"/>
      <c r="T21" s="30"/>
      <c r="U21" s="1"/>
      <c r="V21" s="1"/>
      <c r="W21" s="1"/>
    </row>
    <row r="22" spans="1:23" ht="1.5" customHeight="1" x14ac:dyDescent="0.25">
      <c r="A22" s="30"/>
      <c r="B22" s="51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30"/>
      <c r="O22" s="30"/>
      <c r="P22" s="30"/>
      <c r="Q22" s="30"/>
      <c r="R22" s="30"/>
      <c r="S22" s="30"/>
      <c r="T22" s="30"/>
      <c r="U22" s="1"/>
      <c r="V22" s="1"/>
      <c r="W22" s="1"/>
    </row>
    <row r="23" spans="1:23" ht="11.1" customHeight="1" x14ac:dyDescent="0.25">
      <c r="A23" s="30"/>
      <c r="B23" s="52" t="s">
        <v>0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30"/>
      <c r="N23" s="30"/>
      <c r="O23" s="30"/>
      <c r="P23" s="30"/>
      <c r="Q23" s="30"/>
      <c r="R23" s="30"/>
      <c r="S23" s="30"/>
      <c r="T23" s="30"/>
      <c r="U23" s="1"/>
      <c r="V23" s="1"/>
      <c r="W23" s="1"/>
    </row>
    <row r="24" spans="1:23" ht="7.5" customHeight="1" x14ac:dyDescent="0.25">
      <c r="A24" s="30"/>
      <c r="B24" s="53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30"/>
      <c r="N24" s="30"/>
      <c r="O24" s="30"/>
      <c r="P24" s="30"/>
      <c r="Q24" s="30"/>
      <c r="R24" s="30"/>
      <c r="S24" s="30"/>
      <c r="T24" s="30"/>
      <c r="U24" s="1"/>
      <c r="V24" s="1"/>
      <c r="W24" s="1"/>
    </row>
    <row r="25" spans="1:23" ht="9" customHeight="1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8"/>
      <c r="Q25" s="18"/>
      <c r="R25" s="18"/>
      <c r="S25" s="17"/>
      <c r="T25" s="17"/>
      <c r="U25" s="1"/>
      <c r="V25" s="1"/>
      <c r="W25" s="1"/>
    </row>
    <row r="26" spans="1:23" ht="9" customHeight="1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8"/>
      <c r="Q26" s="18"/>
      <c r="R26" s="18"/>
      <c r="S26" s="17"/>
      <c r="T26" s="17"/>
      <c r="U26" s="1"/>
      <c r="V26" s="1"/>
      <c r="W26" s="1"/>
    </row>
    <row r="27" spans="1:23" ht="11.25" customHeight="1" x14ac:dyDescent="0.2">
      <c r="A27" s="8"/>
      <c r="B27" s="11"/>
      <c r="C27" s="11"/>
      <c r="D27" s="13"/>
      <c r="E27" s="15"/>
      <c r="F27" s="14"/>
      <c r="G27" s="14"/>
      <c r="H27" s="14"/>
      <c r="I27" s="14"/>
      <c r="J27" s="14"/>
      <c r="K27" s="16"/>
      <c r="L27" s="16"/>
      <c r="M27" s="16"/>
      <c r="N27" s="7"/>
      <c r="O27" s="7"/>
      <c r="P27" s="7"/>
      <c r="Q27" s="1"/>
      <c r="R27" s="1"/>
      <c r="S27" s="1"/>
      <c r="T27" s="20"/>
      <c r="U27" s="20"/>
      <c r="V27" s="19"/>
      <c r="W27" s="22">
        <v>1599.2452089999999</v>
      </c>
    </row>
    <row r="28" spans="1:23" x14ac:dyDescent="0.2">
      <c r="A28" s="7"/>
      <c r="B28" s="12"/>
      <c r="C28" s="1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1"/>
      <c r="R28" s="1"/>
      <c r="S28" s="1"/>
      <c r="T28" s="20"/>
      <c r="U28" s="20"/>
      <c r="V28" s="19"/>
      <c r="W28" s="22">
        <v>2349</v>
      </c>
    </row>
    <row r="29" spans="1:23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1"/>
      <c r="R29" s="1"/>
      <c r="S29" s="1"/>
      <c r="T29" s="20"/>
      <c r="U29" s="20"/>
      <c r="V29" s="19"/>
      <c r="W29" s="22">
        <v>163216.50382499999</v>
      </c>
    </row>
    <row r="30" spans="1:23" x14ac:dyDescent="0.2">
      <c r="A30" s="7"/>
      <c r="B30" s="7"/>
      <c r="C30" s="7"/>
      <c r="D30" s="7"/>
      <c r="E30" s="7"/>
      <c r="F30" s="10"/>
      <c r="G30" s="10"/>
      <c r="H30" s="10"/>
      <c r="I30" s="10"/>
      <c r="J30" s="10"/>
      <c r="K30" s="10"/>
      <c r="L30" s="10"/>
      <c r="M30" s="10"/>
      <c r="N30" s="9"/>
      <c r="O30" s="7"/>
      <c r="P30" s="7"/>
      <c r="Q30" s="1"/>
      <c r="R30" s="1"/>
      <c r="S30" s="1"/>
      <c r="T30" s="20"/>
      <c r="U30" s="20"/>
      <c r="V30" s="19"/>
      <c r="W30" s="22">
        <v>3272.5875299999998</v>
      </c>
    </row>
    <row r="31" spans="1:23" x14ac:dyDescent="0.2">
      <c r="A31" s="7"/>
      <c r="B31" s="7"/>
      <c r="C31" s="7"/>
      <c r="D31" s="7"/>
      <c r="E31" s="7"/>
      <c r="F31" s="10"/>
      <c r="G31" s="10"/>
      <c r="H31" s="10"/>
      <c r="I31" s="10"/>
      <c r="J31" s="10"/>
      <c r="K31" s="10"/>
      <c r="L31" s="10"/>
      <c r="M31" s="10"/>
      <c r="N31" s="9"/>
      <c r="O31" s="7"/>
      <c r="P31" s="7"/>
      <c r="Q31" s="1"/>
      <c r="R31" s="1"/>
      <c r="S31" s="1"/>
      <c r="T31" s="20"/>
      <c r="U31" s="20"/>
      <c r="V31" s="19"/>
      <c r="W31" s="19"/>
    </row>
    <row r="32" spans="1:23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1"/>
      <c r="R32" s="1"/>
      <c r="S32" s="1"/>
      <c r="T32" s="20"/>
      <c r="U32" s="20"/>
      <c r="V32" s="19"/>
      <c r="W32" s="19"/>
    </row>
    <row r="33" spans="1:23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1"/>
      <c r="R33" s="1"/>
      <c r="S33" s="1"/>
      <c r="T33" s="20"/>
      <c r="U33" s="20"/>
      <c r="V33" s="19"/>
      <c r="W33" s="19"/>
    </row>
    <row r="34" spans="1:23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1"/>
      <c r="R34" s="1"/>
      <c r="S34" s="1"/>
      <c r="T34" s="20"/>
      <c r="U34" s="20"/>
      <c r="V34" s="19"/>
      <c r="W34" s="19"/>
    </row>
    <row r="35" spans="1:23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1"/>
      <c r="O35" s="7"/>
      <c r="P35" s="7"/>
      <c r="Q35" s="1"/>
      <c r="R35" s="1"/>
      <c r="S35" s="1"/>
      <c r="T35" s="20"/>
      <c r="U35" s="20"/>
      <c r="V35" s="19"/>
      <c r="W35" s="19"/>
    </row>
    <row r="36" spans="1:23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1"/>
      <c r="O36" s="1"/>
      <c r="P36" s="28"/>
      <c r="Q36" s="29"/>
      <c r="R36" s="29"/>
      <c r="S36" s="28"/>
      <c r="T36" s="20"/>
      <c r="U36" s="20"/>
      <c r="V36" s="20"/>
      <c r="W36" s="20"/>
    </row>
    <row r="37" spans="1:23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1"/>
      <c r="O37" s="1"/>
      <c r="P37" s="28"/>
      <c r="Q37" s="18"/>
      <c r="R37" s="18"/>
      <c r="S37" s="17"/>
      <c r="T37" s="20"/>
      <c r="U37" s="20"/>
      <c r="V37" s="20"/>
      <c r="W37" s="20"/>
    </row>
    <row r="38" spans="1:23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1"/>
      <c r="O38" s="1"/>
      <c r="P38" s="28"/>
      <c r="Q38" s="18"/>
      <c r="R38" s="18"/>
      <c r="S38" s="17"/>
      <c r="T38" s="20"/>
      <c r="U38" s="20"/>
      <c r="V38" s="20"/>
      <c r="W38" s="20"/>
    </row>
    <row r="39" spans="1:23" ht="13.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1"/>
      <c r="O39" s="1"/>
      <c r="P39" s="28"/>
      <c r="Q39" s="23"/>
      <c r="R39" s="24"/>
      <c r="S39" s="17"/>
      <c r="T39" s="20"/>
      <c r="U39" s="20"/>
      <c r="V39" s="20"/>
      <c r="W39" s="20"/>
    </row>
    <row r="40" spans="1:23" ht="13.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1"/>
      <c r="O40" s="1"/>
      <c r="P40" s="28"/>
      <c r="Q40" s="23">
        <v>2013</v>
      </c>
      <c r="R40" s="24">
        <v>6680.6589999999997</v>
      </c>
      <c r="S40" s="17"/>
      <c r="T40" s="21"/>
      <c r="U40" s="21"/>
      <c r="V40" s="21"/>
      <c r="W40" s="21"/>
    </row>
    <row r="41" spans="1:23" ht="13.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1"/>
      <c r="O41" s="1"/>
      <c r="P41" s="28"/>
      <c r="Q41" s="23">
        <v>2014</v>
      </c>
      <c r="R41" s="24">
        <v>7192.5919999999996</v>
      </c>
      <c r="S41" s="17"/>
      <c r="T41" s="21"/>
      <c r="U41" s="21"/>
      <c r="V41" s="21"/>
      <c r="W41" s="21"/>
    </row>
    <row r="42" spans="1:23" ht="13.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1"/>
      <c r="O42" s="1"/>
      <c r="P42" s="28"/>
      <c r="Q42" s="23">
        <v>2015</v>
      </c>
      <c r="R42" s="24">
        <v>7320.8069999999998</v>
      </c>
      <c r="S42" s="17"/>
      <c r="T42" s="21"/>
      <c r="U42" s="21"/>
      <c r="V42" s="21"/>
      <c r="W42" s="21"/>
    </row>
    <row r="43" spans="1:23" ht="13.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1"/>
      <c r="O43" s="1"/>
      <c r="P43" s="28"/>
      <c r="Q43" s="23">
        <v>2016</v>
      </c>
      <c r="R43" s="24">
        <v>7663</v>
      </c>
      <c r="S43" s="17"/>
      <c r="T43" s="21"/>
      <c r="U43" s="21"/>
      <c r="V43" s="21"/>
      <c r="W43" s="21"/>
    </row>
    <row r="44" spans="1:23" ht="13.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1"/>
      <c r="O44" s="1"/>
      <c r="P44" s="28"/>
      <c r="Q44" s="23">
        <v>2017</v>
      </c>
      <c r="R44" s="24">
        <v>8806.4519999999993</v>
      </c>
      <c r="S44" s="17"/>
      <c r="T44" s="1"/>
      <c r="U44" s="1"/>
      <c r="V44" s="1"/>
      <c r="W44" s="1"/>
    </row>
    <row r="45" spans="1:23" ht="13.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1"/>
      <c r="O45" s="1"/>
      <c r="P45" s="28"/>
      <c r="Q45" s="23">
        <v>2018</v>
      </c>
      <c r="R45" s="24">
        <v>9533.8709999999992</v>
      </c>
      <c r="S45" s="17"/>
      <c r="T45" s="1"/>
      <c r="U45" s="1"/>
      <c r="V45" s="1"/>
      <c r="W45" s="1"/>
    </row>
    <row r="46" spans="1:23" ht="13.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1"/>
      <c r="O46" s="1"/>
      <c r="P46" s="28"/>
      <c r="Q46" s="23">
        <v>2019</v>
      </c>
      <c r="R46" s="24">
        <v>10120.007</v>
      </c>
      <c r="S46" s="17"/>
      <c r="T46" s="1"/>
      <c r="U46" s="1"/>
      <c r="V46" s="1"/>
      <c r="W46" s="1"/>
    </row>
    <row r="47" spans="1:23" ht="13.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1"/>
      <c r="O47" s="1"/>
      <c r="P47" s="28"/>
      <c r="Q47" s="23">
        <v>2020</v>
      </c>
      <c r="R47" s="24">
        <v>8893.9719999999998</v>
      </c>
      <c r="S47" s="17"/>
      <c r="T47" s="1"/>
      <c r="U47" s="1"/>
      <c r="V47" s="1"/>
      <c r="W47" s="1"/>
    </row>
    <row r="48" spans="1:23" ht="13.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1"/>
      <c r="O48" s="1"/>
      <c r="P48" s="29"/>
      <c r="Q48" s="23">
        <v>2021</v>
      </c>
      <c r="R48" s="24">
        <v>12149.27</v>
      </c>
      <c r="S48" s="17"/>
      <c r="T48" s="1"/>
      <c r="U48" s="1"/>
      <c r="V48" s="1"/>
      <c r="W48" s="1"/>
    </row>
    <row r="54" spans="7:7" ht="12.75" customHeight="1" x14ac:dyDescent="0.2">
      <c r="G54" s="54"/>
    </row>
  </sheetData>
  <mergeCells count="3">
    <mergeCell ref="B5:B6"/>
    <mergeCell ref="C5:L5"/>
    <mergeCell ref="M5:M6"/>
  </mergeCells>
  <phoneticPr fontId="0" type="noConversion"/>
  <printOptions horizontalCentered="1"/>
  <pageMargins left="0.78740157480314965" right="0.59055118110236227" top="0.78740157480314965" bottom="0.19685039370078741" header="0" footer="0"/>
  <pageSetup paperSize="9" scale="92" orientation="portrait" r:id="rId1"/>
  <headerFooter alignWithMargins="0"/>
  <rowBreaks count="2" manualBreakCount="2">
    <brk id="4393" max="12" man="1"/>
    <brk id="5305" max="12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autoPageBreaks="0"/>
  </sheetPr>
  <dimension ref="K1:L11"/>
  <sheetViews>
    <sheetView showGridLines="0" zoomScaleNormal="100" workbookViewId="0">
      <pane xSplit="10" ySplit="31" topLeftCell="K32" activePane="bottomRight" state="frozen"/>
      <selection pane="topRight" activeCell="K1" sqref="K1"/>
      <selection pane="bottomLeft" activeCell="A32" sqref="A32"/>
      <selection pane="bottomRight" activeCell="K32" sqref="K32"/>
    </sheetView>
  </sheetViews>
  <sheetFormatPr baseColWidth="10" defaultRowHeight="11.25" x14ac:dyDescent="0.2"/>
  <cols>
    <col min="1" max="1" width="13.7109375" style="4" customWidth="1"/>
    <col min="2" max="4" width="11.42578125" style="4"/>
    <col min="5" max="5" width="9.28515625" style="4" customWidth="1"/>
    <col min="6" max="8" width="11.42578125" style="4"/>
    <col min="9" max="9" width="13.7109375" style="4" customWidth="1"/>
    <col min="10" max="10" width="11.42578125" style="4"/>
    <col min="11" max="12" width="9.7109375" style="4" customWidth="1"/>
    <col min="13" max="16384" width="11.42578125" style="4"/>
  </cols>
  <sheetData>
    <row r="1" spans="11:12" s="6" customFormat="1" x14ac:dyDescent="0.2"/>
    <row r="2" spans="11:12" x14ac:dyDescent="0.2">
      <c r="K2" s="2">
        <v>1994</v>
      </c>
      <c r="L2" s="3">
        <v>4637</v>
      </c>
    </row>
    <row r="3" spans="11:12" x14ac:dyDescent="0.2">
      <c r="K3" s="2">
        <v>1995</v>
      </c>
      <c r="L3" s="3">
        <v>3948</v>
      </c>
    </row>
    <row r="4" spans="11:12" x14ac:dyDescent="0.2">
      <c r="K4" s="2">
        <v>1996</v>
      </c>
      <c r="L4" s="3">
        <v>2916</v>
      </c>
    </row>
    <row r="5" spans="11:12" x14ac:dyDescent="0.2">
      <c r="K5" s="2">
        <v>1997</v>
      </c>
      <c r="L5" s="3">
        <v>3171</v>
      </c>
    </row>
    <row r="6" spans="11:12" x14ac:dyDescent="0.2">
      <c r="K6" s="2">
        <v>1998</v>
      </c>
      <c r="L6" s="3">
        <v>3282</v>
      </c>
    </row>
    <row r="7" spans="11:12" x14ac:dyDescent="0.2">
      <c r="K7" s="2">
        <v>1999</v>
      </c>
      <c r="L7" s="4">
        <v>2715</v>
      </c>
    </row>
    <row r="8" spans="11:12" x14ac:dyDescent="0.2">
      <c r="K8" s="2">
        <v>2000</v>
      </c>
      <c r="L8" s="4">
        <v>2813</v>
      </c>
    </row>
    <row r="9" spans="11:12" x14ac:dyDescent="0.2">
      <c r="K9" s="5">
        <v>2001</v>
      </c>
      <c r="L9" s="4">
        <v>3087</v>
      </c>
    </row>
    <row r="10" spans="11:12" x14ac:dyDescent="0.2">
      <c r="K10" s="5">
        <v>2002</v>
      </c>
      <c r="L10" s="4">
        <v>3105</v>
      </c>
    </row>
    <row r="11" spans="11:12" x14ac:dyDescent="0.2">
      <c r="K11" s="5">
        <v>2003</v>
      </c>
      <c r="L11" s="4">
        <v>3485</v>
      </c>
    </row>
  </sheetData>
  <sheetProtection password="CA9D" sheet="1" objects="1" scenarios="1"/>
  <phoneticPr fontId="0" type="noConversion"/>
  <pageMargins left="0.75" right="0.75" top="0.19685039370078741" bottom="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  14,1  </vt:lpstr>
      <vt:lpstr>GRAFICO</vt:lpstr>
      <vt:lpstr>'  14,1  '!Área_de_impresión</vt:lpstr>
      <vt:lpstr>GRAFICO!Área_de_impresión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2014-09-18T18:02:05Z</cp:lastPrinted>
  <dcterms:created xsi:type="dcterms:W3CDTF">1996-10-25T01:03:55Z</dcterms:created>
  <dcterms:modified xsi:type="dcterms:W3CDTF">2022-12-15T15:09:07Z</dcterms:modified>
</cp:coreProperties>
</file>