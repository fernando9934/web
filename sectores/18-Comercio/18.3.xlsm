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8-Comercio\"/>
    </mc:Choice>
  </mc:AlternateContent>
  <bookViews>
    <workbookView xWindow="0" yWindow="0" windowWidth="21600" windowHeight="9735"/>
  </bookViews>
  <sheets>
    <sheet name="  18,4  " sheetId="1" r:id="rId1"/>
  </sheets>
  <definedNames>
    <definedName name="_xlnm.Print_Area" localSheetId="0">'  18,4  '!$B$41:$F$55</definedName>
  </definedNames>
  <calcPr calcId="162913"/>
</workbook>
</file>

<file path=xl/calcChain.xml><?xml version="1.0" encoding="utf-8"?>
<calcChain xmlns="http://schemas.openxmlformats.org/spreadsheetml/2006/main">
  <c r="I34" i="1" l="1"/>
  <c r="Q33" i="1"/>
  <c r="M33" i="1"/>
  <c r="I33" i="1"/>
  <c r="D33" i="1"/>
  <c r="C33" i="1"/>
  <c r="Q32" i="1"/>
  <c r="M32" i="1"/>
  <c r="I32" i="1"/>
  <c r="D32" i="1"/>
  <c r="C32" i="1" s="1"/>
  <c r="Q31" i="1"/>
  <c r="M31" i="1"/>
  <c r="I31" i="1"/>
  <c r="D31" i="1"/>
  <c r="C31" i="1"/>
  <c r="Q30" i="1"/>
  <c r="M30" i="1"/>
  <c r="I30" i="1"/>
  <c r="D30" i="1"/>
  <c r="C30" i="1"/>
  <c r="Q29" i="1"/>
  <c r="M29" i="1"/>
  <c r="I29" i="1"/>
  <c r="C29" i="1" s="1"/>
  <c r="D29" i="1"/>
  <c r="Q28" i="1"/>
  <c r="M28" i="1"/>
  <c r="I28" i="1"/>
  <c r="D28" i="1"/>
  <c r="C28" i="1"/>
  <c r="Q27" i="1"/>
  <c r="M27" i="1"/>
  <c r="I27" i="1"/>
  <c r="D27" i="1"/>
  <c r="C27" i="1"/>
  <c r="Q26" i="1"/>
  <c r="M26" i="1"/>
  <c r="I26" i="1"/>
  <c r="D26" i="1"/>
  <c r="C26" i="1" s="1"/>
  <c r="Q25" i="1"/>
  <c r="M25" i="1"/>
  <c r="I25" i="1"/>
  <c r="D25" i="1"/>
  <c r="C25" i="1"/>
  <c r="Q24" i="1"/>
  <c r="M24" i="1"/>
  <c r="I24" i="1"/>
  <c r="D24" i="1"/>
  <c r="C24" i="1" s="1"/>
  <c r="Q23" i="1"/>
  <c r="M23" i="1"/>
  <c r="I23" i="1"/>
  <c r="D23" i="1"/>
  <c r="C23" i="1"/>
  <c r="Q22" i="1"/>
  <c r="M22" i="1"/>
  <c r="D22" i="1"/>
  <c r="C22" i="1"/>
  <c r="C21" i="1" s="1"/>
  <c r="R21" i="1"/>
  <c r="Q21" i="1"/>
  <c r="O21" i="1"/>
  <c r="N21" i="1"/>
  <c r="M21" i="1" s="1"/>
  <c r="K21" i="1"/>
  <c r="J21" i="1"/>
  <c r="I21" i="1"/>
  <c r="G21" i="1"/>
  <c r="F21" i="1"/>
  <c r="E21" i="1"/>
  <c r="D21" i="1"/>
  <c r="Q20" i="1"/>
  <c r="M20" i="1"/>
  <c r="I20" i="1"/>
  <c r="D20" i="1"/>
  <c r="C20" i="1"/>
  <c r="Q19" i="1"/>
  <c r="M19" i="1"/>
  <c r="I19" i="1"/>
  <c r="D19" i="1"/>
  <c r="C19" i="1" s="1"/>
  <c r="Q18" i="1"/>
  <c r="M18" i="1"/>
  <c r="I18" i="1"/>
  <c r="D18" i="1"/>
  <c r="C18" i="1"/>
  <c r="Q17" i="1"/>
  <c r="M17" i="1"/>
  <c r="I17" i="1"/>
  <c r="D17" i="1"/>
  <c r="C17" i="1"/>
  <c r="Q16" i="1"/>
  <c r="M16" i="1"/>
  <c r="I16" i="1"/>
  <c r="C16" i="1" s="1"/>
  <c r="D16" i="1"/>
  <c r="Q15" i="1"/>
  <c r="M15" i="1"/>
  <c r="I15" i="1"/>
  <c r="D15" i="1"/>
  <c r="C15" i="1"/>
  <c r="Q14" i="1"/>
  <c r="C14" i="1" s="1"/>
  <c r="M14" i="1"/>
  <c r="I14" i="1"/>
  <c r="D14" i="1"/>
  <c r="Q13" i="1"/>
  <c r="M13" i="1"/>
  <c r="I13" i="1"/>
  <c r="D13" i="1"/>
  <c r="C13" i="1" s="1"/>
  <c r="Q12" i="1"/>
  <c r="M12" i="1"/>
  <c r="I12" i="1"/>
  <c r="D12" i="1"/>
  <c r="C12" i="1"/>
  <c r="Q11" i="1"/>
  <c r="M11" i="1"/>
  <c r="I11" i="1"/>
  <c r="D11" i="1"/>
  <c r="C11" i="1" s="1"/>
  <c r="Q10" i="1"/>
  <c r="M10" i="1"/>
  <c r="I10" i="1"/>
  <c r="D10" i="1"/>
  <c r="C10" i="1"/>
  <c r="Q9" i="1"/>
  <c r="M9" i="1"/>
  <c r="D9" i="1"/>
  <c r="C9" i="1"/>
  <c r="C8" i="1" s="1"/>
  <c r="R8" i="1"/>
  <c r="Q8" i="1"/>
  <c r="O8" i="1"/>
  <c r="N8" i="1"/>
  <c r="M8" i="1" s="1"/>
  <c r="K8" i="1"/>
  <c r="I8" i="1" s="1"/>
  <c r="J8" i="1"/>
  <c r="G8" i="1"/>
  <c r="F8" i="1"/>
  <c r="E8" i="1"/>
  <c r="D8" i="1"/>
</calcChain>
</file>

<file path=xl/sharedStrings.xml><?xml version="1.0" encoding="utf-8"?>
<sst xmlns="http://schemas.openxmlformats.org/spreadsheetml/2006/main" count="75" uniqueCount="29">
  <si>
    <t>Fresco</t>
  </si>
  <si>
    <t>Conserva</t>
  </si>
  <si>
    <t>Congelado</t>
  </si>
  <si>
    <t>18.3  ICA: VENTA MENSUAL DE ESPÁRRAGO PROCESADO EN PLANTAS POR PROVINCIA, 2020 - 2021</t>
  </si>
  <si>
    <t xml:space="preserve">        (Toneladas)</t>
  </si>
  <si>
    <t>Año             Mes</t>
  </si>
  <si>
    <t>Total</t>
  </si>
  <si>
    <t>Espárrago Fresco</t>
  </si>
  <si>
    <t>Espárrago en Conserva</t>
  </si>
  <si>
    <t>Espárrago Congelado</t>
  </si>
  <si>
    <t>Espárrago Deshidratado</t>
  </si>
  <si>
    <t>Chincha</t>
  </si>
  <si>
    <t>Pisco</t>
  </si>
  <si>
    <t>Ica</t>
  </si>
  <si>
    <t>Enero</t>
  </si>
  <si>
    <t>-</t>
  </si>
  <si>
    <t>Febrero</t>
  </si>
  <si>
    <t>Marzo</t>
  </si>
  <si>
    <t>Abril</t>
  </si>
  <si>
    <t>Mayo</t>
  </si>
  <si>
    <t>Junio</t>
  </si>
  <si>
    <t>Julio</t>
  </si>
  <si>
    <t xml:space="preserve">   </t>
  </si>
  <si>
    <t>Agosto</t>
  </si>
  <si>
    <t>Setiembre</t>
  </si>
  <si>
    <t>Octubre</t>
  </si>
  <si>
    <t>Noviembre</t>
  </si>
  <si>
    <t>Diciembre</t>
  </si>
  <si>
    <t>Fuente: Dirección Regional Agraria - Dirección de Información Agraria.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</si>
</sst>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#,##0.000"/>
    <numFmt numFmtId="166" formatCode="###\ ###"/>
    <numFmt numFmtId="167" formatCode="###"/>
  </numFmts>
  <fonts count="12" x14ac:knownFonts="1">
    <font>
      <sz val="10"/>
      <name val="Arial"/>
    </font>
    <font>
      <sz val="8"/>
      <name val="Arial Narrow"/>
      <family val="2"/>
    </font>
    <font>
      <sz val="10"/>
      <name val="Arial"/>
      <family val="2"/>
    </font>
    <font>
      <sz val="8"/>
      <color rgb="FF0000FF"/>
      <name val="Arial Narrow"/>
      <family val="2"/>
    </font>
    <font>
      <sz val="8"/>
      <color theme="0"/>
      <name val="Arial Narrow"/>
      <family val="2"/>
    </font>
    <font>
      <b/>
      <sz val="9"/>
      <name val="Arial Narrow"/>
      <family val="2"/>
    </font>
    <font>
      <b/>
      <sz val="8"/>
      <name val="Arial Narrow"/>
      <family val="2"/>
    </font>
    <font>
      <b/>
      <sz val="8"/>
      <color indexed="12"/>
      <name val="Arial Narrow"/>
      <family val="2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u/>
      <sz val="10"/>
      <name val="Arial"/>
      <family val="2"/>
    </font>
    <font>
      <b/>
      <sz val="8"/>
      <color theme="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/>
    <xf numFmtId="164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4" fillId="0" borderId="0" xfId="0" applyFont="1"/>
    <xf numFmtId="164" fontId="4" fillId="0" borderId="0" xfId="0" applyNumberFormat="1" applyFont="1"/>
    <xf numFmtId="1" fontId="4" fillId="0" borderId="0" xfId="0" applyNumberFormat="1" applyFont="1"/>
    <xf numFmtId="0" fontId="4" fillId="0" borderId="0" xfId="0" applyNumberFormat="1" applyFont="1" applyAlignment="1">
      <alignment horizontal="righ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1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165" fontId="6" fillId="0" borderId="0" xfId="0" applyNumberFormat="1" applyFont="1" applyBorder="1" applyAlignment="1">
      <alignment horizontal="left"/>
    </xf>
    <xf numFmtId="0" fontId="1" fillId="0" borderId="0" xfId="0" applyFont="1" applyBorder="1"/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1" fillId="0" borderId="5" xfId="0" applyFont="1" applyBorder="1"/>
    <xf numFmtId="0" fontId="6" fillId="0" borderId="5" xfId="0" applyFont="1" applyBorder="1" applyAlignment="1">
      <alignment horizontal="left"/>
    </xf>
    <xf numFmtId="166" fontId="8" fillId="0" borderId="0" xfId="0" applyNumberFormat="1" applyFont="1" applyFill="1" applyAlignment="1">
      <alignment horizontal="right"/>
    </xf>
    <xf numFmtId="166" fontId="6" fillId="0" borderId="0" xfId="0" applyNumberFormat="1" applyFont="1" applyFill="1" applyAlignment="1">
      <alignment horizontal="right"/>
    </xf>
    <xf numFmtId="166" fontId="8" fillId="0" borderId="0" xfId="0" quotePrefix="1" applyNumberFormat="1" applyFont="1" applyFill="1" applyAlignment="1">
      <alignment horizontal="right"/>
    </xf>
    <xf numFmtId="0" fontId="1" fillId="0" borderId="5" xfId="0" applyFont="1" applyBorder="1" applyAlignment="1">
      <alignment horizontal="left"/>
    </xf>
    <xf numFmtId="166" fontId="1" fillId="0" borderId="0" xfId="0" applyNumberFormat="1" applyFont="1" applyFill="1" applyAlignment="1">
      <alignment horizontal="right"/>
    </xf>
    <xf numFmtId="166" fontId="1" fillId="3" borderId="0" xfId="0" applyNumberFormat="1" applyFont="1" applyFill="1" applyBorder="1"/>
    <xf numFmtId="166" fontId="1" fillId="0" borderId="0" xfId="0" applyNumberFormat="1" applyFont="1" applyFill="1" applyBorder="1"/>
    <xf numFmtId="166" fontId="1" fillId="3" borderId="0" xfId="0" applyNumberFormat="1" applyFont="1" applyFill="1" applyBorder="1" applyAlignment="1">
      <alignment horizontal="right"/>
    </xf>
    <xf numFmtId="166" fontId="9" fillId="0" borderId="0" xfId="0" applyNumberFormat="1" applyFont="1" applyFill="1" applyAlignment="1">
      <alignment horizontal="right"/>
    </xf>
    <xf numFmtId="166" fontId="1" fillId="0" borderId="0" xfId="0" applyNumberFormat="1" applyFont="1" applyFill="1" applyBorder="1" applyAlignment="1">
      <alignment horizontal="right"/>
    </xf>
    <xf numFmtId="166" fontId="9" fillId="0" borderId="0" xfId="0" quotePrefix="1" applyNumberFormat="1" applyFont="1" applyFill="1" applyAlignment="1">
      <alignment horizontal="right"/>
    </xf>
    <xf numFmtId="166" fontId="9" fillId="3" borderId="0" xfId="0" quotePrefix="1" applyNumberFormat="1" applyFont="1" applyFill="1" applyAlignment="1">
      <alignment horizontal="right"/>
    </xf>
    <xf numFmtId="166" fontId="1" fillId="3" borderId="0" xfId="0" applyNumberFormat="1" applyFont="1" applyFill="1" applyAlignment="1">
      <alignment horizontal="right"/>
    </xf>
    <xf numFmtId="167" fontId="9" fillId="0" borderId="0" xfId="0" quotePrefix="1" applyNumberFormat="1" applyFont="1" applyFill="1" applyAlignment="1">
      <alignment horizontal="right"/>
    </xf>
    <xf numFmtId="166" fontId="6" fillId="0" borderId="0" xfId="0" quotePrefix="1" applyNumberFormat="1" applyFont="1" applyFill="1" applyAlignment="1">
      <alignment horizontal="right"/>
    </xf>
    <xf numFmtId="0" fontId="1" fillId="0" borderId="8" xfId="0" applyFont="1" applyBorder="1"/>
    <xf numFmtId="165" fontId="1" fillId="0" borderId="7" xfId="0" applyNumberFormat="1" applyFont="1" applyBorder="1"/>
    <xf numFmtId="165" fontId="1" fillId="0" borderId="7" xfId="0" applyNumberFormat="1" applyFont="1" applyBorder="1" applyAlignment="1">
      <alignment horizontal="right"/>
    </xf>
    <xf numFmtId="0" fontId="1" fillId="0" borderId="7" xfId="0" applyFont="1" applyBorder="1"/>
    <xf numFmtId="0" fontId="1" fillId="0" borderId="7" xfId="0" applyFont="1" applyBorder="1" applyAlignment="1">
      <alignment horizontal="right"/>
    </xf>
    <xf numFmtId="0" fontId="6" fillId="0" borderId="0" xfId="0" applyFont="1"/>
    <xf numFmtId="0" fontId="10" fillId="0" borderId="0" xfId="0" applyFont="1"/>
    <xf numFmtId="0" fontId="11" fillId="0" borderId="7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right" vertical="center" indent="1"/>
    </xf>
    <xf numFmtId="0" fontId="1" fillId="0" borderId="6" xfId="0" applyFont="1" applyBorder="1" applyAlignment="1">
      <alignment horizontal="right" vertical="center" indent="1"/>
    </xf>
    <xf numFmtId="0" fontId="6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 Narrow"/>
                <a:cs typeface="Arial Narrow"/>
              </a:defRPr>
            </a:pPr>
            <a:r>
              <a:rPr lang="es-PE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VENTA DE ESPÁRRAGO, 2020 -</a:t>
            </a:r>
            <a:r>
              <a:rPr lang="es-PE" sz="900" b="1" baseline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 </a:t>
            </a:r>
            <a:r>
              <a:rPr lang="es-PE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2021 
</a:t>
            </a:r>
            <a:r>
              <a:rPr lang="es-PE" sz="900" b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(Miles Toneladas)</a:t>
            </a:r>
          </a:p>
        </c:rich>
      </c:tx>
      <c:layout>
        <c:manualLayout>
          <c:xMode val="edge"/>
          <c:yMode val="edge"/>
          <c:x val="0.27828975212181145"/>
          <c:y val="2.40701108942578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50287577897E-3"/>
          <c:y val="0.21183903581559035"/>
          <c:w val="0.92269888677708389"/>
          <c:h val="0.612156350411355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  18,4  '!$K$42:$K$43</c:f>
              <c:strCache>
                <c:ptCount val="2"/>
                <c:pt idx="1">
                  <c:v>2020</c:v>
                </c:pt>
              </c:strCache>
            </c:strRef>
          </c:tx>
          <c:spPr>
            <a:solidFill>
              <a:srgbClr val="993366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108556832694764E-3"/>
                  <c:y val="-2.8129395218002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1270-4ABF-99C8-20C4523BF94C}"/>
                </c:ext>
              </c:extLst>
            </c:dLbl>
            <c:dLbl>
              <c:idx val="1"/>
              <c:layout>
                <c:manualLayout>
                  <c:x val="1.277139208173691E-2"/>
                  <c:y val="-2.25039591570042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270-4ABF-99C8-20C4523BF94C}"/>
                </c:ext>
              </c:extLst>
            </c:dLbl>
            <c:dLbl>
              <c:idx val="2"/>
              <c:layout>
                <c:manualLayout>
                  <c:x val="1.532567049808429E-2"/>
                  <c:y val="-1.12517580872011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270-4ABF-99C8-20C4523BF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18,4  '!$I$44:$I$46</c:f>
              <c:strCache>
                <c:ptCount val="3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</c:strCache>
            </c:strRef>
          </c:cat>
          <c:val>
            <c:numRef>
              <c:f>'  18,4  '!$K$44:$K$46</c:f>
              <c:numCache>
                <c:formatCode>0.0</c:formatCode>
                <c:ptCount val="3"/>
                <c:pt idx="0">
                  <c:v>59.771000000000001</c:v>
                </c:pt>
                <c:pt idx="1">
                  <c:v>0.69299999999999995</c:v>
                </c:pt>
                <c:pt idx="2">
                  <c:v>6.907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70-4ABF-99C8-20C4523BF94C}"/>
            </c:ext>
          </c:extLst>
        </c:ser>
        <c:ser>
          <c:idx val="2"/>
          <c:order val="1"/>
          <c:tx>
            <c:strRef>
              <c:f>'  18,4  '!$L$42:$L$43</c:f>
              <c:strCache>
                <c:ptCount val="2"/>
                <c:pt idx="1">
                  <c:v>2021</c:v>
                </c:pt>
              </c:strCache>
            </c:strRef>
          </c:tx>
          <c:spPr>
            <a:solidFill>
              <a:srgbClr val="FFFFCC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32567049808429E-2"/>
                  <c:y val="-2.2503516174402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1270-4ABF-99C8-20C4523BF94C}"/>
                </c:ext>
              </c:extLst>
            </c:dLbl>
            <c:dLbl>
              <c:idx val="1"/>
              <c:layout>
                <c:manualLayout>
                  <c:x val="1.532567049808429E-2"/>
                  <c:y val="-2.2503516174402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270-4ABF-99C8-20C4523BF94C}"/>
                </c:ext>
              </c:extLst>
            </c:dLbl>
            <c:dLbl>
              <c:idx val="2"/>
              <c:layout>
                <c:manualLayout>
                  <c:x val="2.298850574712653E-2"/>
                  <c:y val="-5.62587904360066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1270-4ABF-99C8-20C4523BF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18,4  '!$I$44:$I$46</c:f>
              <c:strCache>
                <c:ptCount val="3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</c:strCache>
            </c:strRef>
          </c:cat>
          <c:val>
            <c:numRef>
              <c:f>'  18,4  '!$L$44:$L$46</c:f>
              <c:numCache>
                <c:formatCode>0.0</c:formatCode>
                <c:ptCount val="3"/>
                <c:pt idx="0">
                  <c:v>54.1</c:v>
                </c:pt>
                <c:pt idx="1">
                  <c:v>0.9</c:v>
                </c:pt>
                <c:pt idx="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70-4ABF-99C8-20C4523BF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54962040"/>
        <c:axId val="254993248"/>
      </c:barChart>
      <c:catAx>
        <c:axId val="254962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Agraria - Ica</a:t>
                </a:r>
              </a:p>
            </c:rich>
          </c:tx>
          <c:layout>
            <c:manualLayout>
              <c:xMode val="edge"/>
              <c:yMode val="edge"/>
              <c:x val="2.741814096194712E-2"/>
              <c:y val="0.9369435658149568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4993248"/>
        <c:crosses val="autoZero"/>
        <c:auto val="1"/>
        <c:lblAlgn val="ctr"/>
        <c:lblOffset val="100"/>
        <c:noMultiLvlLbl val="0"/>
      </c:catAx>
      <c:valAx>
        <c:axId val="254993248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4962040"/>
        <c:crosses val="autoZero"/>
        <c:crossBetween val="between"/>
        <c:majorUnit val="3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141548764699816"/>
          <c:y val="0.35416807274090739"/>
          <c:w val="0.12456037650250337"/>
          <c:h val="0.15224562741623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 panose="020B0606020202030204" pitchFamily="34" charset="0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3663</xdr:colOff>
      <xdr:row>3</xdr:row>
      <xdr:rowOff>57149</xdr:rowOff>
    </xdr:from>
    <xdr:to>
      <xdr:col>24</xdr:col>
      <xdr:colOff>19050</xdr:colOff>
      <xdr:row>23</xdr:row>
      <xdr:rowOff>47624</xdr:rowOff>
    </xdr:to>
    <xdr:graphicFrame macro="">
      <xdr:nvGraphicFramePr>
        <xdr:cNvPr id="1069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2931</xdr:colOff>
      <xdr:row>0</xdr:row>
      <xdr:rowOff>85727</xdr:rowOff>
    </xdr:from>
    <xdr:to>
      <xdr:col>20</xdr:col>
      <xdr:colOff>507371</xdr:colOff>
      <xdr:row>2</xdr:row>
      <xdr:rowOff>181615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143" y="85727"/>
          <a:ext cx="1266440" cy="506196"/>
        </a:xfrm>
        <a:prstGeom prst="rect">
          <a:avLst/>
        </a:prstGeom>
      </xdr:spPr>
    </xdr:pic>
    <xdr:clientData/>
  </xdr:twoCellAnchor>
  <xdr:twoCellAnchor editAs="oneCell">
    <xdr:from>
      <xdr:col>19</xdr:col>
      <xdr:colOff>1264</xdr:colOff>
      <xdr:row>0</xdr:row>
      <xdr:rowOff>82061</xdr:rowOff>
    </xdr:from>
    <xdr:to>
      <xdr:col>20</xdr:col>
      <xdr:colOff>502041</xdr:colOff>
      <xdr:row>2</xdr:row>
      <xdr:rowOff>179710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6189" y="82061"/>
          <a:ext cx="1262777" cy="5072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58"/>
  <sheetViews>
    <sheetView showGridLines="0" tabSelected="1" zoomScaleNormal="100" zoomScaleSheetLayoutView="40" workbookViewId="0">
      <selection activeCell="V2" sqref="V2"/>
    </sheetView>
  </sheetViews>
  <sheetFormatPr baseColWidth="10" defaultRowHeight="12.75" customHeight="1" x14ac:dyDescent="0.2"/>
  <cols>
    <col min="1" max="1" width="1.7109375" customWidth="1"/>
    <col min="2" max="7" width="8.7109375" customWidth="1"/>
    <col min="8" max="8" width="0.85546875" customWidth="1"/>
    <col min="9" max="11" width="8.7109375" customWidth="1"/>
    <col min="12" max="12" width="0.85546875" customWidth="1"/>
    <col min="13" max="15" width="8.7109375" customWidth="1"/>
    <col min="16" max="16" width="0.85546875" customWidth="1"/>
    <col min="17" max="18" width="8.7109375" customWidth="1"/>
    <col min="19" max="19" width="7.5703125" customWidth="1"/>
  </cols>
  <sheetData>
    <row r="1" spans="1:20" ht="18.75" customHeight="1" x14ac:dyDescent="0.2"/>
    <row r="2" spans="1:20" ht="13.5" x14ac:dyDescent="0.25">
      <c r="A2" s="1"/>
      <c r="B2" s="11" t="s">
        <v>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"/>
      <c r="S2" s="1"/>
      <c r="T2" s="1"/>
    </row>
    <row r="3" spans="1:20" ht="15.75" customHeight="1" x14ac:dyDescent="0.25">
      <c r="A3" s="1"/>
      <c r="B3" s="13" t="s">
        <v>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4"/>
      <c r="O3" s="12"/>
      <c r="P3" s="12"/>
      <c r="Q3" s="12"/>
      <c r="R3" s="1"/>
      <c r="S3" s="1"/>
      <c r="T3" s="1"/>
    </row>
    <row r="4" spans="1:20" ht="4.5" customHeight="1" x14ac:dyDescent="0.25">
      <c r="A4" s="1"/>
      <c r="B4" s="15"/>
      <c r="C4" s="16"/>
      <c r="D4" s="16"/>
      <c r="E4" s="15"/>
      <c r="F4" s="15"/>
      <c r="G4" s="15"/>
      <c r="H4" s="15"/>
      <c r="I4" s="15"/>
      <c r="J4" s="15"/>
      <c r="K4" s="15"/>
      <c r="L4" s="15"/>
      <c r="M4" s="1"/>
      <c r="N4" s="15"/>
      <c r="O4" s="15"/>
      <c r="P4" s="15"/>
      <c r="Q4" s="15"/>
      <c r="R4" s="1"/>
      <c r="S4" s="1"/>
      <c r="T4" s="1"/>
    </row>
    <row r="5" spans="1:20" ht="24" customHeight="1" x14ac:dyDescent="0.25">
      <c r="A5" s="17"/>
      <c r="B5" s="46" t="s">
        <v>5</v>
      </c>
      <c r="C5" s="48" t="s">
        <v>6</v>
      </c>
      <c r="D5" s="50" t="s">
        <v>7</v>
      </c>
      <c r="E5" s="50"/>
      <c r="F5" s="50"/>
      <c r="G5" s="50"/>
      <c r="H5" s="18"/>
      <c r="I5" s="50" t="s">
        <v>8</v>
      </c>
      <c r="J5" s="50"/>
      <c r="K5" s="50"/>
      <c r="L5" s="18"/>
      <c r="M5" s="50" t="s">
        <v>9</v>
      </c>
      <c r="N5" s="50"/>
      <c r="O5" s="50"/>
      <c r="P5" s="18"/>
      <c r="Q5" s="45" t="s">
        <v>10</v>
      </c>
      <c r="R5" s="45"/>
      <c r="S5" s="1"/>
      <c r="T5" s="1"/>
    </row>
    <row r="6" spans="1:20" ht="15" customHeight="1" x14ac:dyDescent="0.25">
      <c r="A6" s="17"/>
      <c r="B6" s="47"/>
      <c r="C6" s="49"/>
      <c r="D6" s="19" t="s">
        <v>6</v>
      </c>
      <c r="E6" s="19" t="s">
        <v>11</v>
      </c>
      <c r="F6" s="19" t="s">
        <v>12</v>
      </c>
      <c r="G6" s="19" t="s">
        <v>13</v>
      </c>
      <c r="H6" s="19"/>
      <c r="I6" s="19" t="s">
        <v>6</v>
      </c>
      <c r="J6" s="19" t="s">
        <v>11</v>
      </c>
      <c r="K6" s="19" t="s">
        <v>13</v>
      </c>
      <c r="L6" s="19"/>
      <c r="M6" s="19" t="s">
        <v>6</v>
      </c>
      <c r="N6" s="19" t="s">
        <v>11</v>
      </c>
      <c r="O6" s="19" t="s">
        <v>13</v>
      </c>
      <c r="P6" s="44">
        <v>2</v>
      </c>
      <c r="Q6" s="19" t="s">
        <v>6</v>
      </c>
      <c r="R6" s="19" t="s">
        <v>13</v>
      </c>
      <c r="S6" s="1"/>
      <c r="T6" s="1"/>
    </row>
    <row r="7" spans="1:20" ht="4.5" customHeight="1" x14ac:dyDescent="0.25">
      <c r="A7" s="17"/>
      <c r="B7" s="20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3.5" x14ac:dyDescent="0.25">
      <c r="A8" s="17"/>
      <c r="B8" s="21">
        <v>2020</v>
      </c>
      <c r="C8" s="22">
        <f>SUM(C9:C20)</f>
        <v>67373.153000000006</v>
      </c>
      <c r="D8" s="23">
        <f>SUM(E8:G8)</f>
        <v>59770.670999999995</v>
      </c>
      <c r="E8" s="22">
        <f>SUM(E9:E20)</f>
        <v>11453.880999999999</v>
      </c>
      <c r="F8" s="22">
        <f>SUM(F9:F20)</f>
        <v>6001.5689999999995</v>
      </c>
      <c r="G8" s="22">
        <f>SUM(G9:G20)</f>
        <v>42315.220999999998</v>
      </c>
      <c r="H8" s="22"/>
      <c r="I8" s="23">
        <f>SUM(J8:K8)</f>
        <v>692.76600000000008</v>
      </c>
      <c r="J8" s="22">
        <f>SUM(J9:J20)</f>
        <v>350.322</v>
      </c>
      <c r="K8" s="22">
        <f>SUM(K9:K20)</f>
        <v>342.44400000000002</v>
      </c>
      <c r="L8" s="22"/>
      <c r="M8" s="22">
        <f>SUM(N8:O8)</f>
        <v>6907.4809999999998</v>
      </c>
      <c r="N8" s="22">
        <f>SUM(N9:N20)</f>
        <v>1827.8130000000001</v>
      </c>
      <c r="O8" s="22">
        <f>SUM(O9:O20)</f>
        <v>5079.6679999999997</v>
      </c>
      <c r="P8" s="22"/>
      <c r="Q8" s="24">
        <f t="shared" ref="Q8" si="0">R8</f>
        <v>2.2350000000000003</v>
      </c>
      <c r="R8" s="22">
        <f>SUM(R9:R20)</f>
        <v>2.2350000000000003</v>
      </c>
      <c r="S8" s="1"/>
      <c r="T8" s="1"/>
    </row>
    <row r="9" spans="1:20" ht="13.5" x14ac:dyDescent="0.25">
      <c r="A9" s="17"/>
      <c r="B9" s="25" t="s">
        <v>14</v>
      </c>
      <c r="C9" s="26">
        <f>D9+M9</f>
        <v>5580.2939999999999</v>
      </c>
      <c r="D9" s="26">
        <f>SUM(E9:G9)</f>
        <v>5272.8890000000001</v>
      </c>
      <c r="E9" s="27">
        <v>777.08799999999997</v>
      </c>
      <c r="F9" s="27">
        <v>429.911</v>
      </c>
      <c r="G9" s="27">
        <v>4065.89</v>
      </c>
      <c r="H9" s="28"/>
      <c r="I9" s="29" t="s">
        <v>15</v>
      </c>
      <c r="J9" s="29" t="s">
        <v>15</v>
      </c>
      <c r="K9" s="29" t="s">
        <v>15</v>
      </c>
      <c r="L9" s="27"/>
      <c r="M9" s="30">
        <f t="shared" ref="M9:M14" si="1">SUM(N9:O9)</f>
        <v>307.40499999999997</v>
      </c>
      <c r="N9" s="31">
        <v>27</v>
      </c>
      <c r="O9" s="28">
        <v>280.40499999999997</v>
      </c>
      <c r="P9" s="28"/>
      <c r="Q9" s="32" t="str">
        <f>R9</f>
        <v>-</v>
      </c>
      <c r="R9" s="32" t="s">
        <v>15</v>
      </c>
      <c r="S9" s="1"/>
      <c r="T9" s="1"/>
    </row>
    <row r="10" spans="1:20" ht="13.5" x14ac:dyDescent="0.25">
      <c r="A10" s="17"/>
      <c r="B10" s="25" t="s">
        <v>16</v>
      </c>
      <c r="C10" s="26">
        <f>D10+I10+M10</f>
        <v>1162.098</v>
      </c>
      <c r="D10" s="26">
        <f t="shared" ref="D10:D14" si="2">SUM(E10:G10)</f>
        <v>795.07799999999997</v>
      </c>
      <c r="E10" s="27">
        <v>420.99700000000001</v>
      </c>
      <c r="F10" s="33">
        <v>15.614000000000001</v>
      </c>
      <c r="G10" s="27">
        <v>358.46699999999998</v>
      </c>
      <c r="H10" s="28"/>
      <c r="I10" s="26">
        <f t="shared" ref="I10:I14" si="3">SUM(J10:K10)</f>
        <v>16.968</v>
      </c>
      <c r="J10" s="29">
        <v>10</v>
      </c>
      <c r="K10" s="27">
        <v>6.968</v>
      </c>
      <c r="L10" s="27"/>
      <c r="M10" s="30">
        <f t="shared" si="1"/>
        <v>350.05199999999996</v>
      </c>
      <c r="N10" s="28">
        <v>70.680999999999997</v>
      </c>
      <c r="O10" s="28">
        <v>279.37099999999998</v>
      </c>
      <c r="P10" s="28"/>
      <c r="Q10" s="32" t="str">
        <f>R10</f>
        <v>-</v>
      </c>
      <c r="R10" s="32" t="s">
        <v>15</v>
      </c>
      <c r="S10" s="1"/>
      <c r="T10" s="1"/>
    </row>
    <row r="11" spans="1:20" ht="13.5" x14ac:dyDescent="0.25">
      <c r="A11" s="17"/>
      <c r="B11" s="25" t="s">
        <v>17</v>
      </c>
      <c r="C11" s="26">
        <f>D11+I11+M11</f>
        <v>2084.94</v>
      </c>
      <c r="D11" s="26">
        <f t="shared" si="2"/>
        <v>1056.2710000000002</v>
      </c>
      <c r="E11" s="27">
        <v>643.34500000000003</v>
      </c>
      <c r="F11" s="27">
        <v>46.527999999999999</v>
      </c>
      <c r="G11" s="27">
        <v>366.39800000000002</v>
      </c>
      <c r="H11" s="28"/>
      <c r="I11" s="26">
        <f t="shared" si="3"/>
        <v>49.676000000000002</v>
      </c>
      <c r="J11" s="27">
        <v>32.162999999999997</v>
      </c>
      <c r="K11" s="34">
        <v>17.513000000000002</v>
      </c>
      <c r="L11" s="34"/>
      <c r="M11" s="30">
        <f t="shared" si="1"/>
        <v>978.99300000000005</v>
      </c>
      <c r="N11" s="28">
        <v>284.06700000000001</v>
      </c>
      <c r="O11" s="28">
        <v>694.92600000000004</v>
      </c>
      <c r="P11" s="28"/>
      <c r="Q11" s="32" t="str">
        <f t="shared" ref="Q11:Q13" si="4">R11</f>
        <v>-</v>
      </c>
      <c r="R11" s="32" t="s">
        <v>15</v>
      </c>
      <c r="S11" s="1"/>
      <c r="T11" s="1"/>
    </row>
    <row r="12" spans="1:20" ht="13.5" x14ac:dyDescent="0.25">
      <c r="A12" s="17"/>
      <c r="B12" s="25" t="s">
        <v>18</v>
      </c>
      <c r="C12" s="26">
        <f>D12+I12+M12</f>
        <v>3710.183</v>
      </c>
      <c r="D12" s="26">
        <f t="shared" si="2"/>
        <v>2657</v>
      </c>
      <c r="E12" s="27">
        <v>500.22</v>
      </c>
      <c r="F12" s="27">
        <v>207.285</v>
      </c>
      <c r="G12" s="29">
        <v>1949.4949999999999</v>
      </c>
      <c r="H12" s="28"/>
      <c r="I12" s="26">
        <f t="shared" si="3"/>
        <v>53.344999999999999</v>
      </c>
      <c r="J12" s="27">
        <v>12.205</v>
      </c>
      <c r="K12" s="27">
        <v>41.14</v>
      </c>
      <c r="L12" s="27"/>
      <c r="M12" s="30">
        <f t="shared" si="1"/>
        <v>999.83799999999997</v>
      </c>
      <c r="N12" s="28">
        <v>138.5</v>
      </c>
      <c r="O12" s="28">
        <v>861.33799999999997</v>
      </c>
      <c r="P12" s="28"/>
      <c r="Q12" s="32" t="str">
        <f t="shared" si="4"/>
        <v>-</v>
      </c>
      <c r="R12" s="32" t="s">
        <v>15</v>
      </c>
      <c r="S12" s="1"/>
      <c r="T12" s="1"/>
    </row>
    <row r="13" spans="1:20" ht="13.5" x14ac:dyDescent="0.25">
      <c r="A13" s="17"/>
      <c r="B13" s="25" t="s">
        <v>19</v>
      </c>
      <c r="C13" s="26">
        <f>D13+I13+M13</f>
        <v>5241.9659999999994</v>
      </c>
      <c r="D13" s="26">
        <f t="shared" si="2"/>
        <v>4517.3649999999998</v>
      </c>
      <c r="E13" s="27">
        <v>230.52099999999999</v>
      </c>
      <c r="F13" s="27">
        <v>373.92200000000003</v>
      </c>
      <c r="G13" s="27">
        <v>3912.922</v>
      </c>
      <c r="H13" s="28"/>
      <c r="I13" s="26">
        <f t="shared" si="3"/>
        <v>64.543999999999997</v>
      </c>
      <c r="J13" s="27">
        <v>30.34</v>
      </c>
      <c r="K13" s="27">
        <v>34.204000000000001</v>
      </c>
      <c r="L13" s="27"/>
      <c r="M13" s="30">
        <f t="shared" si="1"/>
        <v>660.05700000000002</v>
      </c>
      <c r="N13" s="28">
        <v>166.00299999999999</v>
      </c>
      <c r="O13" s="28">
        <v>494.05399999999997</v>
      </c>
      <c r="P13" s="28"/>
      <c r="Q13" s="32" t="str">
        <f t="shared" si="4"/>
        <v>-</v>
      </c>
      <c r="R13" s="32" t="s">
        <v>15</v>
      </c>
      <c r="S13" s="1"/>
      <c r="T13" s="1"/>
    </row>
    <row r="14" spans="1:20" ht="13.5" x14ac:dyDescent="0.25">
      <c r="A14" s="17"/>
      <c r="B14" s="25" t="s">
        <v>20</v>
      </c>
      <c r="C14" s="26">
        <f>D14+I14+M14+Q14</f>
        <v>2745.2869999999998</v>
      </c>
      <c r="D14" s="26">
        <f t="shared" si="2"/>
        <v>2367.39</v>
      </c>
      <c r="E14" s="33" t="s">
        <v>15</v>
      </c>
      <c r="F14" s="27">
        <v>171.89500000000001</v>
      </c>
      <c r="G14" s="27">
        <v>2195.4949999999999</v>
      </c>
      <c r="H14" s="28"/>
      <c r="I14" s="26">
        <f t="shared" si="3"/>
        <v>75.819999999999993</v>
      </c>
      <c r="J14" s="27">
        <v>63.915999999999997</v>
      </c>
      <c r="K14" s="27">
        <v>11.904</v>
      </c>
      <c r="L14" s="27"/>
      <c r="M14" s="30">
        <f t="shared" si="1"/>
        <v>301.39699999999999</v>
      </c>
      <c r="N14" s="28">
        <v>114.176</v>
      </c>
      <c r="O14" s="28">
        <v>187.221</v>
      </c>
      <c r="P14" s="28"/>
      <c r="Q14" s="32">
        <f>R14</f>
        <v>0.68</v>
      </c>
      <c r="R14" s="32">
        <v>0.68</v>
      </c>
      <c r="S14" s="1"/>
      <c r="T14" s="1"/>
    </row>
    <row r="15" spans="1:20" ht="13.5" x14ac:dyDescent="0.25">
      <c r="A15" s="17"/>
      <c r="B15" s="25" t="s">
        <v>21</v>
      </c>
      <c r="C15" s="26">
        <f>D15+I15+M15+Q15</f>
        <v>3871.71</v>
      </c>
      <c r="D15" s="26">
        <f>SUM(E15:G15)</f>
        <v>3523.2690000000002</v>
      </c>
      <c r="E15" s="29">
        <v>1.4950000000000001</v>
      </c>
      <c r="F15" s="27">
        <v>280.25299999999999</v>
      </c>
      <c r="G15" s="27">
        <v>3241.5210000000002</v>
      </c>
      <c r="H15" s="28"/>
      <c r="I15" s="26">
        <f>SUM(J15:K15)</f>
        <v>73.594999999999999</v>
      </c>
      <c r="J15" s="27">
        <v>46.69</v>
      </c>
      <c r="K15" s="27">
        <v>26.905000000000001</v>
      </c>
      <c r="L15" s="27"/>
      <c r="M15" s="30">
        <f>SUM(N15:O15)</f>
        <v>273.846</v>
      </c>
      <c r="N15" s="31">
        <v>91.974999999999994</v>
      </c>
      <c r="O15" s="28">
        <v>181.87100000000001</v>
      </c>
      <c r="P15" s="28"/>
      <c r="Q15" s="32">
        <f>R15</f>
        <v>1</v>
      </c>
      <c r="R15" s="32">
        <v>1</v>
      </c>
      <c r="S15" s="1"/>
      <c r="T15" s="1" t="s">
        <v>22</v>
      </c>
    </row>
    <row r="16" spans="1:20" ht="13.5" x14ac:dyDescent="0.25">
      <c r="A16" s="17"/>
      <c r="B16" s="25" t="s">
        <v>23</v>
      </c>
      <c r="C16" s="26">
        <f>D16+I16+M16+Q16</f>
        <v>6499.9900000000007</v>
      </c>
      <c r="D16" s="26">
        <f t="shared" ref="D16:D20" si="5">SUM(E16:G16)</f>
        <v>6272.1370000000006</v>
      </c>
      <c r="E16" s="27">
        <v>531.69600000000003</v>
      </c>
      <c r="F16" s="27">
        <v>824.87400000000002</v>
      </c>
      <c r="G16" s="27">
        <v>4915.567</v>
      </c>
      <c r="H16" s="28"/>
      <c r="I16" s="26">
        <f t="shared" ref="I16:I20" si="6">SUM(J16:K16)</f>
        <v>46.506999999999998</v>
      </c>
      <c r="J16" s="27">
        <v>7.1260000000000003</v>
      </c>
      <c r="K16" s="27">
        <v>39.381</v>
      </c>
      <c r="L16" s="27"/>
      <c r="M16" s="30">
        <f t="shared" ref="M16:M20" si="7">SUM(N16:O16)</f>
        <v>181.29599999999999</v>
      </c>
      <c r="N16" s="28">
        <v>56</v>
      </c>
      <c r="O16" s="28">
        <v>125.29600000000001</v>
      </c>
      <c r="P16" s="28"/>
      <c r="Q16" s="32">
        <f>R16</f>
        <v>0.05</v>
      </c>
      <c r="R16" s="32">
        <v>0.05</v>
      </c>
      <c r="S16" s="1"/>
      <c r="T16" s="1"/>
    </row>
    <row r="17" spans="1:20" ht="13.5" x14ac:dyDescent="0.25">
      <c r="A17" s="17"/>
      <c r="B17" s="25" t="s">
        <v>24</v>
      </c>
      <c r="C17" s="26">
        <f>D17+I17+M17+Q17</f>
        <v>10132.699000000002</v>
      </c>
      <c r="D17" s="26">
        <f t="shared" si="5"/>
        <v>9621.1490000000013</v>
      </c>
      <c r="E17" s="27">
        <v>2880.3960000000002</v>
      </c>
      <c r="F17" s="27">
        <v>943.71199999999999</v>
      </c>
      <c r="G17" s="27">
        <v>5797.0410000000002</v>
      </c>
      <c r="H17" s="28"/>
      <c r="I17" s="26">
        <f t="shared" si="6"/>
        <v>70.512</v>
      </c>
      <c r="J17" s="27">
        <v>12.5</v>
      </c>
      <c r="K17" s="27">
        <v>58.012</v>
      </c>
      <c r="L17" s="27"/>
      <c r="M17" s="30">
        <f t="shared" si="7"/>
        <v>440.63800000000003</v>
      </c>
      <c r="N17" s="28">
        <v>208.62100000000001</v>
      </c>
      <c r="O17" s="28">
        <v>232.017</v>
      </c>
      <c r="P17" s="28"/>
      <c r="Q17" s="32">
        <f t="shared" ref="Q17:Q18" si="8">R17</f>
        <v>0.4</v>
      </c>
      <c r="R17" s="32">
        <v>0.4</v>
      </c>
      <c r="S17" s="1"/>
      <c r="T17" s="1"/>
    </row>
    <row r="18" spans="1:20" ht="13.5" x14ac:dyDescent="0.25">
      <c r="A18" s="17"/>
      <c r="B18" s="25" t="s">
        <v>25</v>
      </c>
      <c r="C18" s="26">
        <f>D18+I18+M18</f>
        <v>11797.693000000001</v>
      </c>
      <c r="D18" s="26">
        <f t="shared" si="5"/>
        <v>10639.145</v>
      </c>
      <c r="E18" s="27">
        <v>2542.0329999999999</v>
      </c>
      <c r="F18" s="27">
        <v>967.83600000000001</v>
      </c>
      <c r="G18" s="29">
        <v>7129.2759999999998</v>
      </c>
      <c r="H18" s="28"/>
      <c r="I18" s="26">
        <f t="shared" si="6"/>
        <v>67.64500000000001</v>
      </c>
      <c r="J18" s="27">
        <v>11.5</v>
      </c>
      <c r="K18" s="27">
        <v>56.145000000000003</v>
      </c>
      <c r="L18" s="27"/>
      <c r="M18" s="30">
        <f t="shared" si="7"/>
        <v>1090.903</v>
      </c>
      <c r="N18" s="28">
        <v>325.31099999999998</v>
      </c>
      <c r="O18" s="28">
        <v>765.59199999999998</v>
      </c>
      <c r="P18" s="28"/>
      <c r="Q18" s="32" t="str">
        <f t="shared" si="8"/>
        <v>-</v>
      </c>
      <c r="R18" s="32" t="s">
        <v>15</v>
      </c>
      <c r="S18" s="1"/>
      <c r="T18" s="1"/>
    </row>
    <row r="19" spans="1:20" ht="13.5" x14ac:dyDescent="0.25">
      <c r="A19" s="17"/>
      <c r="B19" s="25" t="s">
        <v>26</v>
      </c>
      <c r="C19" s="26">
        <f>D19+I19+M19+Q19</f>
        <v>8717.3719999999994</v>
      </c>
      <c r="D19" s="26">
        <f t="shared" si="5"/>
        <v>7825.2430000000004</v>
      </c>
      <c r="E19" s="27">
        <v>2133.0990000000002</v>
      </c>
      <c r="F19" s="27">
        <v>1128.652</v>
      </c>
      <c r="G19" s="27">
        <v>4563.4920000000002</v>
      </c>
      <c r="H19" s="28"/>
      <c r="I19" s="26">
        <f t="shared" si="6"/>
        <v>52.991</v>
      </c>
      <c r="J19" s="27">
        <v>15.295999999999999</v>
      </c>
      <c r="K19" s="27">
        <v>37.695</v>
      </c>
      <c r="L19" s="27"/>
      <c r="M19" s="30">
        <f t="shared" si="7"/>
        <v>839.0329999999999</v>
      </c>
      <c r="N19" s="28">
        <v>178.92599999999999</v>
      </c>
      <c r="O19" s="28">
        <v>660.10699999999997</v>
      </c>
      <c r="P19" s="28"/>
      <c r="Q19" s="32">
        <f>R19</f>
        <v>0.105</v>
      </c>
      <c r="R19" s="35">
        <v>0.105</v>
      </c>
      <c r="S19" s="1"/>
      <c r="T19" s="1"/>
    </row>
    <row r="20" spans="1:20" ht="13.5" x14ac:dyDescent="0.25">
      <c r="A20" s="17"/>
      <c r="B20" s="25" t="s">
        <v>27</v>
      </c>
      <c r="C20" s="26">
        <f>D20+I20+M20</f>
        <v>5828.9210000000003</v>
      </c>
      <c r="D20" s="26">
        <f t="shared" si="5"/>
        <v>5223.7350000000006</v>
      </c>
      <c r="E20" s="27">
        <v>792.99099999999999</v>
      </c>
      <c r="F20" s="27">
        <v>611.08699999999999</v>
      </c>
      <c r="G20" s="27">
        <v>3819.6570000000002</v>
      </c>
      <c r="H20" s="28"/>
      <c r="I20" s="26">
        <f t="shared" si="6"/>
        <v>121.163</v>
      </c>
      <c r="J20" s="27">
        <v>108.586</v>
      </c>
      <c r="K20" s="27">
        <v>12.577</v>
      </c>
      <c r="L20" s="27"/>
      <c r="M20" s="30">
        <f t="shared" si="7"/>
        <v>484.02300000000002</v>
      </c>
      <c r="N20" s="28">
        <v>166.553</v>
      </c>
      <c r="O20" s="28">
        <v>317.47000000000003</v>
      </c>
      <c r="P20" s="28"/>
      <c r="Q20" s="32" t="str">
        <f>R20</f>
        <v>-</v>
      </c>
      <c r="R20" s="32" t="s">
        <v>15</v>
      </c>
      <c r="S20" s="1"/>
      <c r="T20" s="1"/>
    </row>
    <row r="21" spans="1:20" ht="13.5" x14ac:dyDescent="0.25">
      <c r="A21" s="17"/>
      <c r="B21" s="21">
        <v>2021</v>
      </c>
      <c r="C21" s="23">
        <f>SUM(C22:C33)</f>
        <v>62078.168999999994</v>
      </c>
      <c r="D21" s="23">
        <f>SUM(E21:G21)</f>
        <v>54068.642</v>
      </c>
      <c r="E21" s="23">
        <f>SUM(E22:E33)</f>
        <v>9605.3119999999999</v>
      </c>
      <c r="F21" s="23">
        <f>SUM(F22:F33)</f>
        <v>6696.3189999999995</v>
      </c>
      <c r="G21" s="23">
        <f>SUM(G22:G33)</f>
        <v>37767.010999999999</v>
      </c>
      <c r="H21" s="23"/>
      <c r="I21" s="23">
        <f>SUM(J21:K21)</f>
        <v>907.81600000000003</v>
      </c>
      <c r="J21" s="23">
        <f>SUM(J22:J33)</f>
        <v>329.16800000000001</v>
      </c>
      <c r="K21" s="23">
        <f>SUM(K22:K33)</f>
        <v>578.64800000000002</v>
      </c>
      <c r="L21" s="23"/>
      <c r="M21" s="23">
        <f>SUM(N21:O21)</f>
        <v>7183.3230000000003</v>
      </c>
      <c r="N21" s="23">
        <f>SUM(N22:N33)</f>
        <v>1644.299</v>
      </c>
      <c r="O21" s="23">
        <f>SUM(O22:O33)</f>
        <v>5539.0240000000003</v>
      </c>
      <c r="P21" s="23"/>
      <c r="Q21" s="36">
        <f t="shared" ref="Q21" si="9">R21</f>
        <v>2.3729999999999998</v>
      </c>
      <c r="R21" s="23">
        <f>SUM(R22:R33)</f>
        <v>2.3729999999999998</v>
      </c>
      <c r="S21" s="1"/>
      <c r="T21" s="1"/>
    </row>
    <row r="22" spans="1:20" ht="13.5" x14ac:dyDescent="0.25">
      <c r="A22" s="17"/>
      <c r="B22" s="25" t="s">
        <v>14</v>
      </c>
      <c r="C22" s="26">
        <f>D22+M22</f>
        <v>4405.005000000001</v>
      </c>
      <c r="D22" s="26">
        <f>SUM(E22:G22)</f>
        <v>4151.8160000000007</v>
      </c>
      <c r="E22" s="27">
        <v>524.44899999999996</v>
      </c>
      <c r="F22" s="27">
        <v>595.56500000000005</v>
      </c>
      <c r="G22" s="27">
        <v>3031.8020000000001</v>
      </c>
      <c r="H22" s="28"/>
      <c r="I22" s="29" t="s">
        <v>15</v>
      </c>
      <c r="J22" s="29">
        <v>12.135999999999999</v>
      </c>
      <c r="K22" s="29">
        <v>71.631</v>
      </c>
      <c r="L22" s="27"/>
      <c r="M22" s="30">
        <f t="shared" ref="M22:M33" si="10">SUM(N22:O22)</f>
        <v>253.18899999999999</v>
      </c>
      <c r="N22" s="31">
        <v>51.033999999999999</v>
      </c>
      <c r="O22" s="28">
        <v>202.155</v>
      </c>
      <c r="P22" s="28"/>
      <c r="Q22" s="32" t="str">
        <f>R22</f>
        <v>-</v>
      </c>
      <c r="R22" s="32" t="s">
        <v>15</v>
      </c>
      <c r="S22" s="1"/>
      <c r="T22" s="1"/>
    </row>
    <row r="23" spans="1:20" ht="13.5" x14ac:dyDescent="0.25">
      <c r="A23" s="17"/>
      <c r="B23" s="25" t="s">
        <v>16</v>
      </c>
      <c r="C23" s="26">
        <f t="shared" ref="C23:C29" si="11">D23+I23+M23</f>
        <v>733.41399999999999</v>
      </c>
      <c r="D23" s="26">
        <f t="shared" ref="D23:D33" si="12">SUM(E23:G23)</f>
        <v>354.70400000000001</v>
      </c>
      <c r="E23" s="27">
        <v>239.024</v>
      </c>
      <c r="F23" s="33">
        <v>21.238</v>
      </c>
      <c r="G23" s="27">
        <v>94.441999999999993</v>
      </c>
      <c r="H23" s="28"/>
      <c r="I23" s="26">
        <f t="shared" ref="I23:I34" si="13">SUM(J23:K23)</f>
        <v>49.066000000000003</v>
      </c>
      <c r="J23" s="29">
        <v>6.9269999999999996</v>
      </c>
      <c r="K23" s="27">
        <v>42.139000000000003</v>
      </c>
      <c r="L23" s="27"/>
      <c r="M23" s="30">
        <f t="shared" si="10"/>
        <v>329.64400000000001</v>
      </c>
      <c r="N23" s="28">
        <v>126</v>
      </c>
      <c r="O23" s="28">
        <v>203.64400000000001</v>
      </c>
      <c r="P23" s="28"/>
      <c r="Q23" s="32">
        <f>R23</f>
        <v>0.16300000000000001</v>
      </c>
      <c r="R23" s="32">
        <v>0.16300000000000001</v>
      </c>
      <c r="S23" s="1"/>
      <c r="T23" s="1"/>
    </row>
    <row r="24" spans="1:20" ht="13.5" x14ac:dyDescent="0.25">
      <c r="A24" s="17"/>
      <c r="B24" s="25" t="s">
        <v>17</v>
      </c>
      <c r="C24" s="26">
        <f t="shared" si="11"/>
        <v>1615.0459999999998</v>
      </c>
      <c r="D24" s="26">
        <f t="shared" si="12"/>
        <v>1095.73</v>
      </c>
      <c r="E24" s="27">
        <v>588.46299999999997</v>
      </c>
      <c r="F24" s="29" t="s">
        <v>15</v>
      </c>
      <c r="G24" s="27">
        <v>507.267</v>
      </c>
      <c r="H24" s="28"/>
      <c r="I24" s="26">
        <f t="shared" si="13"/>
        <v>5.9820000000000002</v>
      </c>
      <c r="J24" s="29" t="s">
        <v>15</v>
      </c>
      <c r="K24" s="34">
        <v>5.9820000000000002</v>
      </c>
      <c r="L24" s="34"/>
      <c r="M24" s="30">
        <f t="shared" si="10"/>
        <v>513.33399999999995</v>
      </c>
      <c r="N24" s="28">
        <v>116.15300000000001</v>
      </c>
      <c r="O24" s="28">
        <v>397.18099999999998</v>
      </c>
      <c r="P24" s="28"/>
      <c r="Q24" s="32" t="str">
        <f t="shared" ref="Q24:Q26" si="14">R24</f>
        <v>-</v>
      </c>
      <c r="R24" s="32" t="s">
        <v>15</v>
      </c>
      <c r="S24" s="1"/>
      <c r="T24" s="1"/>
    </row>
    <row r="25" spans="1:20" ht="13.5" x14ac:dyDescent="0.25">
      <c r="A25" s="17"/>
      <c r="B25" s="25" t="s">
        <v>18</v>
      </c>
      <c r="C25" s="26">
        <f t="shared" si="11"/>
        <v>5157.1950000000006</v>
      </c>
      <c r="D25" s="26">
        <f t="shared" si="12"/>
        <v>4193.7070000000003</v>
      </c>
      <c r="E25" s="27">
        <v>1084.4369999999999</v>
      </c>
      <c r="F25" s="27">
        <v>426.9</v>
      </c>
      <c r="G25" s="29">
        <v>2682.37</v>
      </c>
      <c r="H25" s="28"/>
      <c r="I25" s="26">
        <f t="shared" si="13"/>
        <v>24.582000000000001</v>
      </c>
      <c r="J25" s="29" t="s">
        <v>15</v>
      </c>
      <c r="K25" s="27">
        <v>24.582000000000001</v>
      </c>
      <c r="L25" s="27"/>
      <c r="M25" s="30">
        <f t="shared" si="10"/>
        <v>938.90599999999995</v>
      </c>
      <c r="N25" s="28">
        <v>212.554</v>
      </c>
      <c r="O25" s="28">
        <v>726.35199999999998</v>
      </c>
      <c r="P25" s="28"/>
      <c r="Q25" s="32" t="str">
        <f t="shared" si="14"/>
        <v>-</v>
      </c>
      <c r="R25" s="32" t="s">
        <v>15</v>
      </c>
      <c r="S25" s="1"/>
      <c r="T25" s="1"/>
    </row>
    <row r="26" spans="1:20" ht="13.5" x14ac:dyDescent="0.25">
      <c r="A26" s="17"/>
      <c r="B26" s="25" t="s">
        <v>19</v>
      </c>
      <c r="C26" s="26">
        <f t="shared" si="11"/>
        <v>5754.405999999999</v>
      </c>
      <c r="D26" s="26">
        <f t="shared" si="12"/>
        <v>4735.6509999999998</v>
      </c>
      <c r="E26" s="27">
        <v>1073.819</v>
      </c>
      <c r="F26" s="27">
        <v>333.45600000000002</v>
      </c>
      <c r="G26" s="27">
        <v>3328.3760000000002</v>
      </c>
      <c r="H26" s="28"/>
      <c r="I26" s="26">
        <f t="shared" si="13"/>
        <v>111.41399999999999</v>
      </c>
      <c r="J26" s="27">
        <v>16.18</v>
      </c>
      <c r="K26" s="27">
        <v>95.233999999999995</v>
      </c>
      <c r="L26" s="27"/>
      <c r="M26" s="30">
        <f t="shared" si="10"/>
        <v>907.34099999999989</v>
      </c>
      <c r="N26" s="28">
        <v>238.36799999999999</v>
      </c>
      <c r="O26" s="28">
        <v>668.97299999999996</v>
      </c>
      <c r="P26" s="28"/>
      <c r="Q26" s="32">
        <f t="shared" si="14"/>
        <v>5.5E-2</v>
      </c>
      <c r="R26" s="32">
        <v>5.5E-2</v>
      </c>
      <c r="S26" s="1"/>
      <c r="T26" s="1"/>
    </row>
    <row r="27" spans="1:20" ht="13.5" x14ac:dyDescent="0.25">
      <c r="A27" s="17"/>
      <c r="B27" s="25" t="s">
        <v>20</v>
      </c>
      <c r="C27" s="26">
        <f t="shared" si="11"/>
        <v>2975.3360000000002</v>
      </c>
      <c r="D27" s="26">
        <f t="shared" si="12"/>
        <v>2324.239</v>
      </c>
      <c r="E27" s="33">
        <v>33.094000000000001</v>
      </c>
      <c r="F27" s="27">
        <v>15.878</v>
      </c>
      <c r="G27" s="27">
        <v>2275.2669999999998</v>
      </c>
      <c r="H27" s="28"/>
      <c r="I27" s="26">
        <f t="shared" si="13"/>
        <v>77.134</v>
      </c>
      <c r="J27" s="27">
        <v>44.604999999999997</v>
      </c>
      <c r="K27" s="27">
        <v>32.529000000000003</v>
      </c>
      <c r="L27" s="27"/>
      <c r="M27" s="30">
        <f t="shared" si="10"/>
        <v>573.96299999999997</v>
      </c>
      <c r="N27" s="28">
        <v>157</v>
      </c>
      <c r="O27" s="28">
        <v>416.96300000000002</v>
      </c>
      <c r="P27" s="28"/>
      <c r="Q27" s="32" t="str">
        <f>R27</f>
        <v>-</v>
      </c>
      <c r="R27" s="32" t="s">
        <v>15</v>
      </c>
      <c r="S27" s="1"/>
      <c r="T27" s="1"/>
    </row>
    <row r="28" spans="1:20" ht="13.5" x14ac:dyDescent="0.25">
      <c r="A28" s="17"/>
      <c r="B28" s="25" t="s">
        <v>21</v>
      </c>
      <c r="C28" s="26">
        <f t="shared" si="11"/>
        <v>3569.8760000000002</v>
      </c>
      <c r="D28" s="26">
        <f>SUM(E28:G28)</f>
        <v>3234.4659999999999</v>
      </c>
      <c r="E28" s="29" t="s">
        <v>15</v>
      </c>
      <c r="F28" s="27">
        <v>414.68</v>
      </c>
      <c r="G28" s="27">
        <v>2819.7860000000001</v>
      </c>
      <c r="H28" s="28"/>
      <c r="I28" s="26">
        <f>SUM(J28:K28)</f>
        <v>59.179000000000002</v>
      </c>
      <c r="J28" s="27">
        <v>21.033000000000001</v>
      </c>
      <c r="K28" s="27">
        <v>38.146000000000001</v>
      </c>
      <c r="L28" s="27"/>
      <c r="M28" s="30">
        <f>SUM(N28:O28)</f>
        <v>276.23099999999999</v>
      </c>
      <c r="N28" s="31">
        <v>84.299000000000007</v>
      </c>
      <c r="O28" s="28">
        <v>191.93199999999999</v>
      </c>
      <c r="P28" s="28"/>
      <c r="Q28" s="32" t="str">
        <f>R28</f>
        <v>-</v>
      </c>
      <c r="R28" s="32" t="s">
        <v>15</v>
      </c>
      <c r="S28" s="1"/>
      <c r="T28" s="1"/>
    </row>
    <row r="29" spans="1:20" ht="13.5" x14ac:dyDescent="0.25">
      <c r="A29" s="17"/>
      <c r="B29" s="25" t="s">
        <v>23</v>
      </c>
      <c r="C29" s="26">
        <f t="shared" si="11"/>
        <v>4861.384</v>
      </c>
      <c r="D29" s="26">
        <f t="shared" si="12"/>
        <v>4658.2190000000001</v>
      </c>
      <c r="E29" s="27">
        <v>307.75099999999998</v>
      </c>
      <c r="F29" s="27">
        <v>838.53</v>
      </c>
      <c r="G29" s="27">
        <v>3511.9380000000001</v>
      </c>
      <c r="H29" s="28"/>
      <c r="I29" s="26">
        <f t="shared" si="13"/>
        <v>32.718000000000004</v>
      </c>
      <c r="J29" s="29" t="s">
        <v>15</v>
      </c>
      <c r="K29" s="27">
        <v>32.718000000000004</v>
      </c>
      <c r="L29" s="27"/>
      <c r="M29" s="30">
        <f t="shared" si="10"/>
        <v>170.447</v>
      </c>
      <c r="N29" s="28">
        <v>51.173999999999999</v>
      </c>
      <c r="O29" s="28">
        <v>119.273</v>
      </c>
      <c r="P29" s="28"/>
      <c r="Q29" s="32" t="str">
        <f>R29</f>
        <v>-</v>
      </c>
      <c r="R29" s="32" t="s">
        <v>15</v>
      </c>
      <c r="S29" s="1"/>
      <c r="T29" s="1"/>
    </row>
    <row r="30" spans="1:20" ht="13.5" x14ac:dyDescent="0.25">
      <c r="A30" s="17"/>
      <c r="B30" s="25" t="s">
        <v>24</v>
      </c>
      <c r="C30" s="26">
        <f>D30+I30+M30+Q30</f>
        <v>7938.0370000000003</v>
      </c>
      <c r="D30" s="26">
        <f t="shared" si="12"/>
        <v>7265.9549999999999</v>
      </c>
      <c r="E30" s="27">
        <v>1297.1849999999999</v>
      </c>
      <c r="F30" s="27">
        <v>983.17600000000004</v>
      </c>
      <c r="G30" s="27">
        <v>4985.5940000000001</v>
      </c>
      <c r="H30" s="28"/>
      <c r="I30" s="26">
        <f t="shared" si="13"/>
        <v>65.340999999999994</v>
      </c>
      <c r="J30" s="29" t="s">
        <v>15</v>
      </c>
      <c r="K30" s="27">
        <v>65.340999999999994</v>
      </c>
      <c r="L30" s="27"/>
      <c r="M30" s="30">
        <f t="shared" si="10"/>
        <v>604.74099999999999</v>
      </c>
      <c r="N30" s="28">
        <v>162.292</v>
      </c>
      <c r="O30" s="28">
        <v>442.44900000000001</v>
      </c>
      <c r="P30" s="28"/>
      <c r="Q30" s="32">
        <f t="shared" ref="Q30:Q31" si="15">R30</f>
        <v>2</v>
      </c>
      <c r="R30" s="32">
        <v>2</v>
      </c>
      <c r="S30" s="1"/>
      <c r="T30" s="1"/>
    </row>
    <row r="31" spans="1:20" ht="13.5" x14ac:dyDescent="0.25">
      <c r="A31" s="17"/>
      <c r="B31" s="25" t="s">
        <v>25</v>
      </c>
      <c r="C31" s="26">
        <f>D31+I31+M31</f>
        <v>10263.747000000001</v>
      </c>
      <c r="D31" s="26">
        <f t="shared" si="12"/>
        <v>9202.2309999999998</v>
      </c>
      <c r="E31" s="27">
        <v>1960.424</v>
      </c>
      <c r="F31" s="27">
        <v>1387.568</v>
      </c>
      <c r="G31" s="29">
        <v>5854.2389999999996</v>
      </c>
      <c r="H31" s="28"/>
      <c r="I31" s="26">
        <f t="shared" si="13"/>
        <v>55.762999999999998</v>
      </c>
      <c r="J31" s="27">
        <v>6.867</v>
      </c>
      <c r="K31" s="27">
        <v>48.896000000000001</v>
      </c>
      <c r="L31" s="27"/>
      <c r="M31" s="30">
        <f t="shared" si="10"/>
        <v>1005.753</v>
      </c>
      <c r="N31" s="28">
        <v>185.005</v>
      </c>
      <c r="O31" s="28">
        <v>820.74800000000005</v>
      </c>
      <c r="P31" s="28"/>
      <c r="Q31" s="32" t="str">
        <f t="shared" si="15"/>
        <v>-</v>
      </c>
      <c r="R31" s="32" t="s">
        <v>15</v>
      </c>
      <c r="S31" s="1"/>
      <c r="T31" s="1"/>
    </row>
    <row r="32" spans="1:20" ht="13.5" x14ac:dyDescent="0.25">
      <c r="A32" s="17"/>
      <c r="B32" s="25" t="s">
        <v>26</v>
      </c>
      <c r="C32" s="26">
        <f>D32+I32+M32+Q32</f>
        <v>7678.7209999999995</v>
      </c>
      <c r="D32" s="26">
        <f t="shared" si="12"/>
        <v>6665.8519999999999</v>
      </c>
      <c r="E32" s="27">
        <v>1833.962</v>
      </c>
      <c r="F32" s="27">
        <v>893.22699999999998</v>
      </c>
      <c r="G32" s="27">
        <v>3938.663</v>
      </c>
      <c r="H32" s="28"/>
      <c r="I32" s="26">
        <f t="shared" si="13"/>
        <v>146.88800000000001</v>
      </c>
      <c r="J32" s="27">
        <v>124.749</v>
      </c>
      <c r="K32" s="27">
        <v>22.138999999999999</v>
      </c>
      <c r="L32" s="27"/>
      <c r="M32" s="30">
        <f t="shared" si="10"/>
        <v>865.82600000000002</v>
      </c>
      <c r="N32" s="28">
        <v>134.61000000000001</v>
      </c>
      <c r="O32" s="28">
        <v>731.21600000000001</v>
      </c>
      <c r="P32" s="28"/>
      <c r="Q32" s="32">
        <f>R32</f>
        <v>0.155</v>
      </c>
      <c r="R32" s="35">
        <v>0.155</v>
      </c>
      <c r="S32" s="1"/>
      <c r="T32" s="1"/>
    </row>
    <row r="33" spans="1:20" ht="13.5" x14ac:dyDescent="0.25">
      <c r="A33" s="17"/>
      <c r="B33" s="25" t="s">
        <v>27</v>
      </c>
      <c r="C33" s="26">
        <f>D33+I33+M33</f>
        <v>7126.0020000000004</v>
      </c>
      <c r="D33" s="26">
        <f t="shared" si="12"/>
        <v>6186.0720000000001</v>
      </c>
      <c r="E33" s="27">
        <v>662.70399999999995</v>
      </c>
      <c r="F33" s="27">
        <v>786.101</v>
      </c>
      <c r="G33" s="27">
        <v>4737.2669999999998</v>
      </c>
      <c r="H33" s="28"/>
      <c r="I33" s="26">
        <f t="shared" si="13"/>
        <v>195.98200000000003</v>
      </c>
      <c r="J33" s="27">
        <v>96.671000000000006</v>
      </c>
      <c r="K33" s="27">
        <v>99.311000000000007</v>
      </c>
      <c r="L33" s="27"/>
      <c r="M33" s="30">
        <f t="shared" si="10"/>
        <v>743.94800000000009</v>
      </c>
      <c r="N33" s="28">
        <v>125.81</v>
      </c>
      <c r="O33" s="28">
        <v>618.13800000000003</v>
      </c>
      <c r="P33" s="28"/>
      <c r="Q33" s="32" t="str">
        <f>R33</f>
        <v>-</v>
      </c>
      <c r="R33" s="32" t="s">
        <v>15</v>
      </c>
      <c r="S33" s="1"/>
      <c r="T33" s="1"/>
    </row>
    <row r="34" spans="1:20" ht="3.75" customHeight="1" x14ac:dyDescent="0.25">
      <c r="A34" s="17"/>
      <c r="B34" s="37"/>
      <c r="C34" s="38"/>
      <c r="D34" s="38"/>
      <c r="E34" s="38"/>
      <c r="F34" s="38">
        <v>6506.2280000000001</v>
      </c>
      <c r="G34" s="38"/>
      <c r="H34" s="38"/>
      <c r="I34" s="38">
        <f t="shared" si="13"/>
        <v>873.03800000000001</v>
      </c>
      <c r="J34" s="38">
        <v>873.03800000000001</v>
      </c>
      <c r="K34" s="38"/>
      <c r="L34" s="38"/>
      <c r="M34" s="39"/>
      <c r="N34" s="38"/>
      <c r="O34" s="38"/>
      <c r="P34" s="38"/>
      <c r="Q34" s="40"/>
      <c r="R34" s="41"/>
      <c r="S34" s="1"/>
      <c r="T34" s="1"/>
    </row>
    <row r="35" spans="1:20" ht="12" customHeight="1" x14ac:dyDescent="0.25">
      <c r="A35" s="1"/>
      <c r="B35" s="42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8" spans="1:20" ht="9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20" ht="9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20" ht="5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0" ht="13.5" x14ac:dyDescent="0.25">
      <c r="A41" s="1"/>
      <c r="B41" s="1"/>
      <c r="C41" s="1"/>
      <c r="D41" s="1"/>
      <c r="E41" s="1"/>
      <c r="F41" s="1"/>
      <c r="G41" s="1"/>
      <c r="H41" s="4"/>
      <c r="I41" s="4"/>
      <c r="J41" s="4"/>
      <c r="K41" s="4"/>
      <c r="L41" s="4"/>
      <c r="M41" s="4"/>
      <c r="N41" s="4"/>
      <c r="O41" s="4"/>
      <c r="P41" s="4"/>
      <c r="Q41" s="1"/>
      <c r="R41" s="1"/>
      <c r="S41" s="3"/>
      <c r="T41" s="3"/>
    </row>
    <row r="42" spans="1:20" ht="13.5" x14ac:dyDescent="0.25">
      <c r="A42" s="1"/>
      <c r="B42" s="1"/>
      <c r="C42" s="1"/>
      <c r="D42" s="1"/>
      <c r="E42" s="1"/>
      <c r="F42" s="1"/>
      <c r="G42" s="1"/>
      <c r="H42" s="4"/>
      <c r="I42" s="7"/>
      <c r="J42" s="7"/>
      <c r="K42" s="7"/>
      <c r="L42" s="7"/>
      <c r="M42" s="4"/>
      <c r="N42" s="4"/>
      <c r="O42" s="4"/>
      <c r="P42" s="4"/>
      <c r="Q42" s="1"/>
      <c r="R42" s="1"/>
      <c r="S42" s="3"/>
      <c r="T42" s="3"/>
    </row>
    <row r="43" spans="1:20" ht="13.5" x14ac:dyDescent="0.25">
      <c r="A43" s="1"/>
      <c r="B43" s="1"/>
      <c r="C43" s="1"/>
      <c r="D43" s="1"/>
      <c r="E43" s="1"/>
      <c r="F43" s="1"/>
      <c r="G43" s="1"/>
      <c r="H43" s="4"/>
      <c r="I43" s="7"/>
      <c r="J43" s="7"/>
      <c r="K43" s="7">
        <v>2020</v>
      </c>
      <c r="L43" s="7">
        <v>2021</v>
      </c>
      <c r="M43" s="4"/>
      <c r="N43" s="4"/>
      <c r="O43" s="4"/>
      <c r="P43" s="4"/>
      <c r="Q43" s="1"/>
      <c r="R43" s="3"/>
      <c r="S43" s="3"/>
      <c r="T43" s="3"/>
    </row>
    <row r="44" spans="1:20" ht="13.5" x14ac:dyDescent="0.25">
      <c r="A44" s="1"/>
      <c r="B44" s="1"/>
      <c r="C44" s="1"/>
      <c r="D44" s="1"/>
      <c r="E44" s="1"/>
      <c r="F44" s="1"/>
      <c r="G44" s="1"/>
      <c r="H44" s="4"/>
      <c r="I44" s="7" t="s">
        <v>0</v>
      </c>
      <c r="J44" s="8"/>
      <c r="K44" s="8">
        <v>59.771000000000001</v>
      </c>
      <c r="L44" s="8">
        <v>54.1</v>
      </c>
      <c r="M44" s="5"/>
      <c r="N44" s="5"/>
      <c r="O44" s="5"/>
      <c r="P44" s="4"/>
      <c r="Q44" s="1"/>
      <c r="R44" s="3"/>
      <c r="S44" s="3"/>
      <c r="T44" s="3"/>
    </row>
    <row r="45" spans="1:20" ht="13.5" x14ac:dyDescent="0.25">
      <c r="A45" s="1"/>
      <c r="B45" s="1"/>
      <c r="C45" s="1"/>
      <c r="D45" s="1"/>
      <c r="E45" s="1"/>
      <c r="F45" s="1"/>
      <c r="G45" s="1"/>
      <c r="H45" s="4"/>
      <c r="I45" s="7" t="s">
        <v>1</v>
      </c>
      <c r="J45" s="8"/>
      <c r="K45" s="8">
        <v>0.69299999999999995</v>
      </c>
      <c r="L45" s="8">
        <v>0.9</v>
      </c>
      <c r="M45" s="5"/>
      <c r="N45" s="5"/>
      <c r="O45" s="5"/>
      <c r="P45" s="4"/>
      <c r="Q45" s="1"/>
      <c r="R45" s="3"/>
      <c r="S45" s="3"/>
      <c r="T45" s="3"/>
    </row>
    <row r="46" spans="1:20" ht="13.5" x14ac:dyDescent="0.25">
      <c r="A46" s="1"/>
      <c r="B46" s="1"/>
      <c r="C46" s="1"/>
      <c r="D46" s="1"/>
      <c r="E46" s="1"/>
      <c r="F46" s="1"/>
      <c r="G46" s="1"/>
      <c r="H46" s="4"/>
      <c r="I46" s="7" t="s">
        <v>2</v>
      </c>
      <c r="J46" s="8"/>
      <c r="K46" s="8">
        <v>6.907</v>
      </c>
      <c r="L46" s="8">
        <v>7.2</v>
      </c>
      <c r="M46" s="5"/>
      <c r="N46" s="5"/>
      <c r="O46" s="5"/>
      <c r="P46" s="4"/>
      <c r="Q46" s="1"/>
      <c r="R46" s="3"/>
      <c r="S46" s="3"/>
      <c r="T46" s="3"/>
    </row>
    <row r="47" spans="1:20" ht="13.5" x14ac:dyDescent="0.25">
      <c r="A47" s="1"/>
      <c r="B47" s="1"/>
      <c r="C47" s="1"/>
      <c r="D47" s="1"/>
      <c r="E47" s="1"/>
      <c r="F47" s="1"/>
      <c r="G47" s="1"/>
      <c r="H47" s="4"/>
      <c r="I47" s="7"/>
      <c r="J47" s="7"/>
      <c r="K47" s="7"/>
      <c r="L47" s="7"/>
      <c r="M47" s="4"/>
      <c r="N47" s="4"/>
      <c r="O47" s="4"/>
      <c r="P47" s="4"/>
      <c r="Q47" s="1"/>
      <c r="R47" s="1"/>
      <c r="S47" s="3"/>
      <c r="T47" s="3"/>
    </row>
    <row r="48" spans="1:20" ht="13.5" x14ac:dyDescent="0.25">
      <c r="A48" s="1"/>
      <c r="B48" s="1"/>
      <c r="C48" s="1"/>
      <c r="D48" s="1"/>
      <c r="E48" s="1"/>
      <c r="F48" s="1"/>
      <c r="G48" s="1"/>
      <c r="H48" s="4"/>
      <c r="I48" s="7"/>
      <c r="J48" s="7"/>
      <c r="K48" s="9"/>
      <c r="L48" s="7"/>
      <c r="M48" s="4"/>
      <c r="N48" s="4"/>
      <c r="O48" s="4"/>
      <c r="P48" s="4"/>
      <c r="Q48" s="1"/>
      <c r="R48" s="1"/>
      <c r="S48" s="3"/>
      <c r="T48" s="3"/>
    </row>
    <row r="49" spans="1:20" ht="13.5" x14ac:dyDescent="0.25">
      <c r="A49" s="1"/>
      <c r="B49" s="1"/>
      <c r="C49" s="1"/>
      <c r="D49" s="1"/>
      <c r="E49" s="1"/>
      <c r="F49" s="1"/>
      <c r="G49" s="1"/>
      <c r="H49" s="4"/>
      <c r="I49" s="7"/>
      <c r="J49" s="7"/>
      <c r="K49" s="10"/>
      <c r="L49" s="10"/>
      <c r="M49" s="4"/>
      <c r="N49" s="4"/>
      <c r="O49" s="4"/>
      <c r="P49" s="4"/>
      <c r="Q49" s="1"/>
      <c r="R49" s="1"/>
      <c r="S49" s="3"/>
      <c r="T49" s="3"/>
    </row>
    <row r="50" spans="1:20" ht="13.5" x14ac:dyDescent="0.25">
      <c r="A50" s="1"/>
      <c r="B50" s="1"/>
      <c r="C50" s="1"/>
      <c r="D50" s="1"/>
      <c r="E50" s="1"/>
      <c r="F50" s="1"/>
      <c r="G50" s="1"/>
      <c r="H50" s="4"/>
      <c r="I50" s="4"/>
      <c r="J50" s="4"/>
      <c r="K50" s="6"/>
      <c r="L50" s="6"/>
      <c r="M50" s="4"/>
      <c r="N50" s="4"/>
      <c r="O50" s="4"/>
      <c r="P50" s="4"/>
      <c r="Q50" s="1"/>
      <c r="R50" s="1"/>
      <c r="S50" s="3"/>
      <c r="T50" s="3"/>
    </row>
    <row r="51" spans="1:20" ht="13.5" x14ac:dyDescent="0.25">
      <c r="A51" s="1"/>
      <c r="B51" s="1"/>
      <c r="C51" s="1"/>
      <c r="D51" s="1"/>
      <c r="E51" s="1"/>
      <c r="F51" s="1"/>
      <c r="G51" s="1"/>
      <c r="H51" s="4"/>
      <c r="I51" s="4"/>
      <c r="J51" s="4"/>
      <c r="K51" s="6"/>
      <c r="L51" s="6"/>
      <c r="M51" s="4"/>
      <c r="N51" s="4"/>
      <c r="O51" s="4"/>
      <c r="P51" s="4"/>
      <c r="Q51" s="1"/>
      <c r="R51" s="1"/>
      <c r="S51" s="3"/>
      <c r="T51" s="3"/>
    </row>
    <row r="52" spans="1:20" ht="13.5" x14ac:dyDescent="0.25">
      <c r="A52" s="1"/>
      <c r="B52" s="1"/>
      <c r="C52" s="1"/>
      <c r="D52" s="1"/>
      <c r="E52" s="1"/>
      <c r="F52" s="1"/>
      <c r="G52" s="1"/>
      <c r="H52" s="4"/>
      <c r="I52" s="4"/>
      <c r="J52" s="4"/>
      <c r="K52" s="4"/>
      <c r="L52" s="4"/>
      <c r="M52" s="4"/>
      <c r="N52" s="4"/>
      <c r="O52" s="4"/>
      <c r="P52" s="4"/>
      <c r="Q52" s="1"/>
      <c r="R52" s="1"/>
      <c r="S52" s="3"/>
      <c r="T52" s="3"/>
    </row>
    <row r="53" spans="1:20" ht="13.5" x14ac:dyDescent="0.25">
      <c r="A53" s="1"/>
      <c r="B53" s="1"/>
      <c r="C53" s="1"/>
      <c r="D53" s="1"/>
      <c r="E53" s="1"/>
      <c r="F53" s="1"/>
      <c r="G53" s="1"/>
      <c r="H53" s="4"/>
      <c r="I53" s="4"/>
      <c r="J53" s="4"/>
      <c r="K53" s="4"/>
      <c r="L53" s="4"/>
      <c r="M53" s="4"/>
      <c r="N53" s="4"/>
      <c r="O53" s="4"/>
      <c r="P53" s="4"/>
      <c r="Q53" s="1"/>
      <c r="R53" s="1"/>
      <c r="S53" s="3"/>
      <c r="T53" s="3"/>
    </row>
    <row r="58" spans="1:20" ht="12.75" customHeight="1" x14ac:dyDescent="0.2">
      <c r="F58" s="43"/>
    </row>
  </sheetData>
  <mergeCells count="6">
    <mergeCell ref="Q5:R5"/>
    <mergeCell ref="B5:B6"/>
    <mergeCell ref="C5:C6"/>
    <mergeCell ref="D5:G5"/>
    <mergeCell ref="I5:K5"/>
    <mergeCell ref="M5:O5"/>
  </mergeCells>
  <phoneticPr fontId="0" type="noConversion"/>
  <printOptions horizontalCentered="1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18,4  </vt:lpstr>
      <vt:lpstr>'  18,4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LCANO</dc:creator>
  <cp:lastModifiedBy>LUIS CANO</cp:lastModifiedBy>
  <cp:lastPrinted>2014-09-22T14:10:50Z</cp:lastPrinted>
  <dcterms:created xsi:type="dcterms:W3CDTF">2007-07-24T13:23:34Z</dcterms:created>
  <dcterms:modified xsi:type="dcterms:W3CDTF">2022-12-22T17:00:26Z</dcterms:modified>
</cp:coreProperties>
</file>