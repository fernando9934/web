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21-Cuentas Departamentales\"/>
    </mc:Choice>
  </mc:AlternateContent>
  <bookViews>
    <workbookView xWindow="-105" yWindow="-105" windowWidth="23250" windowHeight="12570"/>
  </bookViews>
  <sheets>
    <sheet name="  21,7  " sheetId="1" r:id="rId1"/>
  </sheets>
  <definedNames>
    <definedName name="_xlnm.Print_Area" localSheetId="0">'  21,7  '!$B$2:$J$60</definedName>
  </definedNames>
  <calcPr calcId="162913"/>
</workbook>
</file>

<file path=xl/calcChain.xml><?xml version="1.0" encoding="utf-8"?>
<calcChain xmlns="http://schemas.openxmlformats.org/spreadsheetml/2006/main">
  <c r="I13" i="1" l="1"/>
  <c r="I8" i="1" s="1"/>
  <c r="H13" i="1"/>
  <c r="H8" i="1" s="1"/>
  <c r="G13" i="1"/>
  <c r="G8" i="1" s="1"/>
  <c r="F13" i="1"/>
  <c r="E13" i="1"/>
  <c r="E8" i="1" s="1"/>
  <c r="D13" i="1"/>
  <c r="D8" i="1" s="1"/>
  <c r="C13" i="1"/>
  <c r="C8" i="1" s="1"/>
  <c r="F8" i="1"/>
  <c r="J13" i="1" l="1"/>
  <c r="J8" i="1" s="1"/>
</calcChain>
</file>

<file path=xl/sharedStrings.xml><?xml version="1.0" encoding="utf-8"?>
<sst xmlns="http://schemas.openxmlformats.org/spreadsheetml/2006/main" count="43" uniqueCount="43">
  <si>
    <t>Producto Bruto Interno</t>
  </si>
  <si>
    <t>Valor Agregado Bruto</t>
  </si>
  <si>
    <t>Amazonas</t>
  </si>
  <si>
    <t>Apurímac</t>
  </si>
  <si>
    <t>Arequipa</t>
  </si>
  <si>
    <t>Ayacucho</t>
  </si>
  <si>
    <t>Cajamarca</t>
  </si>
  <si>
    <t>Cusco</t>
  </si>
  <si>
    <t>Huancavelica</t>
  </si>
  <si>
    <t>Huánuco</t>
  </si>
  <si>
    <t>Ica</t>
  </si>
  <si>
    <t>Junín</t>
  </si>
  <si>
    <t>La Libertad</t>
  </si>
  <si>
    <t>Lambayeque</t>
  </si>
  <si>
    <t>Loreto</t>
  </si>
  <si>
    <t>Madre de Dios</t>
  </si>
  <si>
    <t>Moquegua</t>
  </si>
  <si>
    <t>Pasco</t>
  </si>
  <si>
    <t>Piura</t>
  </si>
  <si>
    <t>Puno</t>
  </si>
  <si>
    <t>Tacna</t>
  </si>
  <si>
    <t>Tumbes</t>
  </si>
  <si>
    <t>Ucayali</t>
  </si>
  <si>
    <t>Derechos de Importación</t>
  </si>
  <si>
    <t>San Martín</t>
  </si>
  <si>
    <t>Impuestos a los Productos</t>
  </si>
  <si>
    <t>Áncash</t>
  </si>
  <si>
    <t>Fuente: Instituto Nacional de Estadística e Informática.</t>
  </si>
  <si>
    <t>2016 P/</t>
  </si>
  <si>
    <t xml:space="preserve">Lima </t>
  </si>
  <si>
    <t>Prov. Constitu. del Callao</t>
  </si>
  <si>
    <t>Región Lima</t>
  </si>
  <si>
    <t>Provincia de Lima</t>
  </si>
  <si>
    <t xml:space="preserve">         Valores a precios corrientes</t>
  </si>
  <si>
    <t xml:space="preserve">         (Miles de soles)</t>
  </si>
  <si>
    <t>Departamentos</t>
  </si>
  <si>
    <t>2018 E/</t>
  </si>
  <si>
    <t>2019 E/</t>
  </si>
  <si>
    <t>2017 P/</t>
  </si>
  <si>
    <t>2020 E/</t>
  </si>
  <si>
    <t>2021 E/</t>
  </si>
  <si>
    <t>21.7   PERÚ: PRODUCTO BRUTO INTERNO POR AÑOS, SEGÚN  DEPARTAMENTOS, 2014 - 2021</t>
  </si>
  <si>
    <r>
      <rPr>
        <b/>
        <sz val="7"/>
        <color theme="1"/>
        <rFont val="Arial Narrow"/>
        <family val="2"/>
      </rPr>
      <t>Nota</t>
    </r>
    <r>
      <rPr>
        <sz val="7"/>
        <color theme="1"/>
        <rFont val="Arial Narrow"/>
        <family val="2"/>
      </rPr>
      <t>: Con información disponible al 15 de abril de 2022.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</si>
</sst>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)"/>
    <numFmt numFmtId="165" formatCode="##\ ###"/>
    <numFmt numFmtId="166" formatCode="###\ ###\ ###\ ###"/>
  </numFmts>
  <fonts count="16" x14ac:knownFonts="1">
    <font>
      <sz val="10"/>
      <name val="Arial"/>
    </font>
    <font>
      <sz val="10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7"/>
      <name val="Arial Narrow"/>
      <family val="2"/>
    </font>
    <font>
      <b/>
      <sz val="8"/>
      <color indexed="10"/>
      <name val="Arial Narrow"/>
      <family val="2"/>
    </font>
    <font>
      <b/>
      <sz val="9"/>
      <name val="Arial Narrow"/>
      <family val="2"/>
    </font>
    <font>
      <sz val="8"/>
      <color theme="0"/>
      <name val="Arial Narrow"/>
      <family val="2"/>
    </font>
    <font>
      <b/>
      <sz val="9"/>
      <color rgb="FFFF0000"/>
      <name val="Arial Narrow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sz val="8"/>
      <color rgb="FF0000FF"/>
      <name val="Arial Narrow"/>
      <family val="2"/>
    </font>
    <font>
      <b/>
      <sz val="8"/>
      <color theme="0"/>
      <name val="Arial Narrow"/>
      <family val="2"/>
    </font>
    <font>
      <sz val="7"/>
      <color theme="0"/>
      <name val="Arial Narrow"/>
      <family val="2"/>
    </font>
    <font>
      <u/>
      <sz val="10"/>
      <name val="Arial"/>
      <family val="2"/>
    </font>
    <font>
      <sz val="10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3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wrapText="1"/>
    </xf>
    <xf numFmtId="0" fontId="2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164" fontId="2" fillId="0" borderId="0" xfId="0" applyNumberFormat="1" applyFont="1" applyAlignment="1">
      <alignment horizontal="right" vertical="center"/>
    </xf>
    <xf numFmtId="165" fontId="7" fillId="0" borderId="0" xfId="0" applyNumberFormat="1" applyFont="1" applyAlignment="1">
      <alignment horizontal="right" vertical="center"/>
    </xf>
    <xf numFmtId="0" fontId="9" fillId="0" borderId="0" xfId="0" applyFont="1" applyAlignment="1">
      <alignment vertical="center"/>
    </xf>
    <xf numFmtId="166" fontId="2" fillId="0" borderId="0" xfId="0" applyNumberFormat="1" applyFont="1" applyAlignment="1">
      <alignment horizontal="right" vertical="center"/>
    </xf>
    <xf numFmtId="166" fontId="3" fillId="0" borderId="0" xfId="0" applyNumberFormat="1" applyFont="1" applyAlignment="1">
      <alignment vertical="center"/>
    </xf>
    <xf numFmtId="164" fontId="2" fillId="0" borderId="0" xfId="0" applyNumberFormat="1" applyFont="1" applyAlignment="1">
      <alignment vertical="center"/>
    </xf>
    <xf numFmtId="166" fontId="3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166" fontId="12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166" fontId="2" fillId="0" borderId="0" xfId="0" applyNumberFormat="1" applyFont="1" applyAlignment="1">
      <alignment vertical="center"/>
    </xf>
    <xf numFmtId="0" fontId="14" fillId="0" borderId="0" xfId="0" applyFont="1"/>
    <xf numFmtId="0" fontId="15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 sz="900" b="1">
                <a:latin typeface="Arial Narrow" panose="020B0606020202030204" pitchFamily="34" charset="0"/>
              </a:defRPr>
            </a:pPr>
            <a:r>
              <a:rPr lang="en-US" sz="900" b="1">
                <a:latin typeface="Arial Narrow" panose="020B0606020202030204" pitchFamily="34" charset="0"/>
                <a:cs typeface="Arial" panose="020B0604020202020204" pitchFamily="34" charset="0"/>
              </a:rPr>
              <a:t>ICA: PRODUCTO BRUTO INTERNO CORRIENTE, 2014 - 2021</a:t>
            </a:r>
          </a:p>
          <a:p>
            <a:pPr>
              <a:defRPr sz="900" b="1">
                <a:latin typeface="Arial Narrow" panose="020B0606020202030204" pitchFamily="34" charset="0"/>
              </a:defRPr>
            </a:pPr>
            <a:r>
              <a:rPr lang="en-US" sz="800" b="1">
                <a:latin typeface="Arial Narrow" panose="020B0606020202030204" pitchFamily="34" charset="0"/>
                <a:cs typeface="Arial" panose="020B0604020202020204" pitchFamily="34" charset="0"/>
              </a:rPr>
              <a:t> </a:t>
            </a:r>
            <a:r>
              <a:rPr lang="en-US" sz="800" b="0">
                <a:latin typeface="Arial Narrow" panose="020B0606020202030204" pitchFamily="34" charset="0"/>
                <a:cs typeface="Arial" panose="020B0604020202020204" pitchFamily="34" charset="0"/>
              </a:rPr>
              <a:t> (Millones de soles)</a:t>
            </a:r>
          </a:p>
        </c:rich>
      </c:tx>
      <c:layout>
        <c:manualLayout>
          <c:xMode val="edge"/>
          <c:yMode val="edge"/>
          <c:x val="0.20328731921062171"/>
          <c:y val="3.1620553359683792E-2"/>
        </c:manualLayout>
      </c:layout>
      <c:overlay val="1"/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rgbClr val="00B0F0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1.3362794612794613E-2"/>
          <c:y val="0.17334111013901038"/>
          <c:w val="0.97594696969696992"/>
          <c:h val="0.6916061168029672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  21,7  '!$M$46</c:f>
              <c:strCache>
                <c:ptCount val="1"/>
              </c:strCache>
            </c:strRef>
          </c:tx>
          <c:invertIfNegative val="0"/>
          <c:dLbls>
            <c:dLbl>
              <c:idx val="0"/>
              <c:layout>
                <c:manualLayout>
                  <c:x val="1.1985018726591761E-2"/>
                  <c:y val="-2.0592425946756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74-4EF0-8BC7-749E43FEE570}"/>
                </c:ext>
              </c:extLst>
            </c:dLbl>
            <c:dLbl>
              <c:idx val="1"/>
              <c:layout>
                <c:manualLayout>
                  <c:x val="8.9885281193783639E-3"/>
                  <c:y val="-2.05920205920205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74-4EF0-8BC7-749E43FEE570}"/>
                </c:ext>
              </c:extLst>
            </c:dLbl>
            <c:dLbl>
              <c:idx val="2"/>
              <c:layout>
                <c:manualLayout>
                  <c:x val="8.9886776705213108E-3"/>
                  <c:y val="-2.59840444845580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74-4EF0-8BC7-749E43FEE570}"/>
                </c:ext>
              </c:extLst>
            </c:dLbl>
            <c:dLbl>
              <c:idx val="3"/>
              <c:layout>
                <c:manualLayout>
                  <c:x val="8.98876404494371E-3"/>
                  <c:y val="-1.5444015444015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74-4EF0-8BC7-749E43FEE570}"/>
                </c:ext>
              </c:extLst>
            </c:dLbl>
            <c:dLbl>
              <c:idx val="4"/>
              <c:layout>
                <c:manualLayout>
                  <c:x val="1.1984976773300828E-2"/>
                  <c:y val="-2.6106460012656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74-4EF0-8BC7-749E43FEE570}"/>
                </c:ext>
              </c:extLst>
            </c:dLbl>
            <c:dLbl>
              <c:idx val="5"/>
              <c:layout>
                <c:manualLayout>
                  <c:x val="1.7977528089887642E-2"/>
                  <c:y val="-2.059242594675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F74-4EF0-8BC7-749E43FEE570}"/>
                </c:ext>
              </c:extLst>
            </c:dLbl>
            <c:dLbl>
              <c:idx val="6"/>
              <c:layout>
                <c:manualLayout>
                  <c:x val="1.4981273408239701E-2"/>
                  <c:y val="-1.54440154440154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74-4EF0-8BC7-749E43FEE570}"/>
                </c:ext>
              </c:extLst>
            </c:dLbl>
            <c:dLbl>
              <c:idx val="7"/>
              <c:layout>
                <c:manualLayout>
                  <c:x val="8.3682008368201853E-3"/>
                  <c:y val="-1.58102766798418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74-4EF0-8BC7-749E43FEE5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  21,7  '!$L$48:$L$55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  21,7  '!$M$48:$M$55</c:f>
              <c:numCache>
                <c:formatCode>##\ ###</c:formatCode>
                <c:ptCount val="8"/>
                <c:pt idx="0">
                  <c:v>18575</c:v>
                </c:pt>
                <c:pt idx="1">
                  <c:v>20476</c:v>
                </c:pt>
                <c:pt idx="2">
                  <c:v>20952</c:v>
                </c:pt>
                <c:pt idx="3">
                  <c:v>23148</c:v>
                </c:pt>
                <c:pt idx="4">
                  <c:v>24892</c:v>
                </c:pt>
                <c:pt idx="5">
                  <c:v>27058</c:v>
                </c:pt>
                <c:pt idx="6">
                  <c:v>25830</c:v>
                </c:pt>
                <c:pt idx="7">
                  <c:v>38363.9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74-4EF0-8BC7-749E43FEE5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shape val="cylinder"/>
        <c:axId val="310954016"/>
        <c:axId val="310951664"/>
        <c:axId val="0"/>
      </c:bar3DChart>
      <c:catAx>
        <c:axId val="31095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Instituto Nacional de Estadística e Informática.</a:t>
                </a:r>
              </a:p>
            </c:rich>
          </c:tx>
          <c:layout>
            <c:manualLayout>
              <c:xMode val="edge"/>
              <c:yMode val="edge"/>
              <c:x val="2.9106511386675457E-2"/>
              <c:y val="0.936095420504869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 Narrow" panose="020B0606020202030204" pitchFamily="34" charset="0"/>
                <a:cs typeface="Arial" panose="020B0604020202020204" pitchFamily="34" charset="0"/>
              </a:defRPr>
            </a:pPr>
            <a:endParaRPr lang="es-PE"/>
          </a:p>
        </c:txPr>
        <c:crossAx val="310951664"/>
        <c:crosses val="autoZero"/>
        <c:auto val="1"/>
        <c:lblAlgn val="ctr"/>
        <c:lblOffset val="100"/>
        <c:noMultiLvlLbl val="0"/>
      </c:catAx>
      <c:valAx>
        <c:axId val="310951664"/>
        <c:scaling>
          <c:orientation val="minMax"/>
        </c:scaling>
        <c:delete val="0"/>
        <c:axPos val="l"/>
        <c:numFmt formatCode="##\ ###" sourceLinked="1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310954016"/>
        <c:crosses val="autoZero"/>
        <c:crossBetween val="between"/>
        <c:majorUnit val="5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sq"/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752476</xdr:colOff>
      <xdr:row>11</xdr:row>
      <xdr:rowOff>19050</xdr:rowOff>
    </xdr:from>
    <xdr:to>
      <xdr:col>16</xdr:col>
      <xdr:colOff>638175</xdr:colOff>
      <xdr:row>29</xdr:row>
      <xdr:rowOff>66675</xdr:rowOff>
    </xdr:to>
    <xdr:graphicFrame macro="">
      <xdr:nvGraphicFramePr>
        <xdr:cNvPr id="1050" name="grafico" hidden="1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752475</xdr:colOff>
      <xdr:row>4</xdr:row>
      <xdr:rowOff>28575</xdr:rowOff>
    </xdr:from>
    <xdr:to>
      <xdr:col>12</xdr:col>
      <xdr:colOff>661451</xdr:colOff>
      <xdr:row>9</xdr:row>
      <xdr:rowOff>137850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1775" y="552450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750075</xdr:colOff>
      <xdr:row>4</xdr:row>
      <xdr:rowOff>26175</xdr:rowOff>
    </xdr:from>
    <xdr:to>
      <xdr:col>12</xdr:col>
      <xdr:colOff>660075</xdr:colOff>
      <xdr:row>9</xdr:row>
      <xdr:rowOff>135450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9375" y="550050"/>
          <a:ext cx="14340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62"/>
  <sheetViews>
    <sheetView showGridLines="0" tabSelected="1" zoomScaleNormal="100" workbookViewId="0">
      <selection activeCell="J45" sqref="J45"/>
    </sheetView>
  </sheetViews>
  <sheetFormatPr baseColWidth="10" defaultColWidth="11.42578125" defaultRowHeight="13.15" customHeight="1" x14ac:dyDescent="0.2"/>
  <cols>
    <col min="1" max="1" width="1.7109375" customWidth="1"/>
    <col min="2" max="2" width="16.42578125" customWidth="1"/>
    <col min="3" max="5" width="8.5703125" customWidth="1"/>
    <col min="6" max="10" width="8.7109375" customWidth="1"/>
  </cols>
  <sheetData>
    <row r="1" spans="1:16" ht="9" customHeight="1" x14ac:dyDescent="0.2">
      <c r="A1" s="1"/>
      <c r="B1" s="2"/>
      <c r="C1" s="1"/>
      <c r="D1" s="5"/>
      <c r="E1" s="1"/>
      <c r="F1" s="1"/>
      <c r="G1" s="1"/>
      <c r="H1" s="1"/>
      <c r="I1" s="1"/>
      <c r="J1" s="1"/>
      <c r="K1" s="1"/>
      <c r="L1" s="1"/>
      <c r="M1" s="1"/>
    </row>
    <row r="2" spans="1:16" ht="11.25" customHeight="1" x14ac:dyDescent="0.2">
      <c r="A2" s="1"/>
      <c r="B2" s="6" t="s">
        <v>41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6" ht="10.5" customHeight="1" x14ac:dyDescent="0.2">
      <c r="A3" s="1"/>
      <c r="B3" s="22" t="s">
        <v>33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6" ht="10.5" customHeight="1" x14ac:dyDescent="0.2">
      <c r="A4" s="1"/>
      <c r="B4" s="7" t="s">
        <v>34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6" ht="3" customHeight="1" x14ac:dyDescent="0.2">
      <c r="A5" s="1"/>
      <c r="B5" s="7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6" ht="15" customHeight="1" x14ac:dyDescent="0.2">
      <c r="A6" s="1"/>
      <c r="B6" s="14" t="s">
        <v>35</v>
      </c>
      <c r="C6" s="13">
        <v>2014</v>
      </c>
      <c r="D6" s="13">
        <v>2015</v>
      </c>
      <c r="E6" s="13" t="s">
        <v>28</v>
      </c>
      <c r="F6" s="13" t="s">
        <v>38</v>
      </c>
      <c r="G6" s="13" t="s">
        <v>36</v>
      </c>
      <c r="H6" s="13" t="s">
        <v>37</v>
      </c>
      <c r="I6" s="13" t="s">
        <v>39</v>
      </c>
      <c r="J6" s="13" t="s">
        <v>40</v>
      </c>
      <c r="K6" s="1"/>
      <c r="L6" s="1"/>
      <c r="M6" s="1"/>
      <c r="P6" s="29">
        <v>2</v>
      </c>
    </row>
    <row r="7" spans="1:16" ht="3" customHeight="1" x14ac:dyDescent="0.2">
      <c r="A7" s="1"/>
      <c r="B7" s="9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6" ht="12.75" customHeight="1" x14ac:dyDescent="0.2">
      <c r="A8" s="1"/>
      <c r="B8" s="9" t="s">
        <v>0</v>
      </c>
      <c r="C8" s="23">
        <f t="shared" ref="C8:F8" si="0">C10+C11+C13</f>
        <v>570041239</v>
      </c>
      <c r="D8" s="23">
        <f t="shared" si="0"/>
        <v>604416337</v>
      </c>
      <c r="E8" s="23">
        <f t="shared" si="0"/>
        <v>647667971.39499998</v>
      </c>
      <c r="F8" s="23">
        <f t="shared" si="0"/>
        <v>687989422</v>
      </c>
      <c r="G8" s="23">
        <f>G10+G11+G13</f>
        <v>731588480</v>
      </c>
      <c r="H8" s="23">
        <f>H10+H11+H13</f>
        <v>761983901</v>
      </c>
      <c r="I8" s="23">
        <f>I10+I11+I13</f>
        <v>704939025</v>
      </c>
      <c r="J8" s="23">
        <f>J10+J11+J13</f>
        <v>866342240</v>
      </c>
      <c r="K8" s="1"/>
      <c r="L8" s="1"/>
      <c r="M8" s="1"/>
    </row>
    <row r="9" spans="1:16" ht="3" customHeight="1" x14ac:dyDescent="0.2">
      <c r="A9" s="1"/>
      <c r="B9" s="9"/>
      <c r="C9" s="20"/>
      <c r="D9" s="20"/>
      <c r="E9" s="20"/>
      <c r="F9" s="20"/>
      <c r="G9" s="20"/>
      <c r="H9" s="20"/>
      <c r="I9" s="20"/>
      <c r="J9" s="20"/>
      <c r="K9" s="1"/>
      <c r="L9" s="1"/>
      <c r="M9" s="1"/>
    </row>
    <row r="10" spans="1:16" ht="12" customHeight="1" x14ac:dyDescent="0.25">
      <c r="A10" s="1"/>
      <c r="B10" s="11" t="s">
        <v>25</v>
      </c>
      <c r="C10" s="27">
        <v>49748532</v>
      </c>
      <c r="D10" s="27">
        <v>50102529</v>
      </c>
      <c r="E10" s="27">
        <v>51534516</v>
      </c>
      <c r="F10" s="27">
        <v>53622646</v>
      </c>
      <c r="G10" s="27">
        <v>56792075</v>
      </c>
      <c r="H10" s="27">
        <v>61911832</v>
      </c>
      <c r="I10" s="27">
        <v>53608205</v>
      </c>
      <c r="J10" s="27">
        <v>74593135</v>
      </c>
      <c r="K10" s="1"/>
      <c r="L10" s="1"/>
      <c r="M10" s="1"/>
    </row>
    <row r="11" spans="1:16" ht="12" customHeight="1" x14ac:dyDescent="0.2">
      <c r="A11" s="1"/>
      <c r="B11" s="10" t="s">
        <v>23</v>
      </c>
      <c r="C11" s="27">
        <v>2133483</v>
      </c>
      <c r="D11" s="27">
        <v>1719389</v>
      </c>
      <c r="E11" s="27">
        <v>1587359</v>
      </c>
      <c r="F11" s="27">
        <v>1375311</v>
      </c>
      <c r="G11" s="27">
        <v>1383313</v>
      </c>
      <c r="H11" s="27">
        <v>1380312</v>
      </c>
      <c r="I11" s="27">
        <v>1116252</v>
      </c>
      <c r="J11" s="27">
        <v>1415320</v>
      </c>
      <c r="K11" s="1"/>
      <c r="L11" s="1"/>
      <c r="M11" s="1"/>
    </row>
    <row r="12" spans="1:16" ht="3.75" customHeight="1" x14ac:dyDescent="0.2">
      <c r="A12" s="1"/>
      <c r="B12" s="9"/>
      <c r="C12" s="20"/>
      <c r="D12" s="20"/>
      <c r="E12" s="20"/>
      <c r="F12" s="20"/>
      <c r="G12" s="20"/>
      <c r="H12" s="20"/>
      <c r="I12" s="20"/>
      <c r="J12" s="20"/>
      <c r="K12" s="1"/>
      <c r="L12" s="1"/>
      <c r="M12" s="1"/>
    </row>
    <row r="13" spans="1:16" ht="12.75" customHeight="1" x14ac:dyDescent="0.2">
      <c r="A13" s="1"/>
      <c r="B13" s="9" t="s">
        <v>1</v>
      </c>
      <c r="C13" s="21">
        <f t="shared" ref="C13:G13" si="1">SUM(C14:C27,C31:C40)</f>
        <v>518159224</v>
      </c>
      <c r="D13" s="21">
        <f t="shared" si="1"/>
        <v>552594419</v>
      </c>
      <c r="E13" s="21">
        <f t="shared" si="1"/>
        <v>594546096.39499998</v>
      </c>
      <c r="F13" s="21">
        <f t="shared" si="1"/>
        <v>632991465</v>
      </c>
      <c r="G13" s="21">
        <f t="shared" si="1"/>
        <v>673413092</v>
      </c>
      <c r="H13" s="21">
        <f>SUM(H14:H27,H31:H40)</f>
        <v>698691757</v>
      </c>
      <c r="I13" s="21">
        <f t="shared" ref="I13:J13" si="2">SUM(I14:I27,I31:I40)</f>
        <v>650214568</v>
      </c>
      <c r="J13" s="21">
        <f t="shared" si="2"/>
        <v>790333785</v>
      </c>
      <c r="K13" s="1"/>
      <c r="L13" s="1"/>
      <c r="M13" s="1"/>
    </row>
    <row r="14" spans="1:16" ht="12" customHeight="1" x14ac:dyDescent="0.2">
      <c r="A14" s="1"/>
      <c r="B14" s="10" t="s">
        <v>2</v>
      </c>
      <c r="C14" s="27">
        <v>3740830</v>
      </c>
      <c r="D14" s="27">
        <v>3861574</v>
      </c>
      <c r="E14" s="27">
        <v>3984218</v>
      </c>
      <c r="F14" s="27">
        <v>4364242</v>
      </c>
      <c r="G14" s="27">
        <v>4718973</v>
      </c>
      <c r="H14" s="27">
        <v>4795923</v>
      </c>
      <c r="I14" s="27">
        <v>4937495</v>
      </c>
      <c r="J14" s="27">
        <v>5239258</v>
      </c>
      <c r="K14" s="1"/>
      <c r="L14" s="1"/>
      <c r="M14" s="1"/>
    </row>
    <row r="15" spans="1:16" ht="12" customHeight="1" x14ac:dyDescent="0.2">
      <c r="A15" s="1"/>
      <c r="B15" s="10" t="s">
        <v>26</v>
      </c>
      <c r="C15" s="27">
        <v>17312725</v>
      </c>
      <c r="D15" s="27">
        <v>18942827</v>
      </c>
      <c r="E15" s="27">
        <v>20326178</v>
      </c>
      <c r="F15" s="27">
        <v>22859412</v>
      </c>
      <c r="G15" s="27">
        <v>25518708</v>
      </c>
      <c r="H15" s="27">
        <v>24502598</v>
      </c>
      <c r="I15" s="27">
        <v>24814020</v>
      </c>
      <c r="J15" s="27">
        <v>35384433</v>
      </c>
      <c r="K15" s="1"/>
      <c r="L15" s="1"/>
      <c r="M15" s="1"/>
    </row>
    <row r="16" spans="1:16" ht="12" customHeight="1" x14ac:dyDescent="0.2">
      <c r="A16" s="1"/>
      <c r="B16" s="10" t="s">
        <v>3</v>
      </c>
      <c r="C16" s="27">
        <v>3258734</v>
      </c>
      <c r="D16" s="27">
        <v>3566427</v>
      </c>
      <c r="E16" s="27">
        <v>7653145</v>
      </c>
      <c r="F16" s="27">
        <v>9891744</v>
      </c>
      <c r="G16" s="27">
        <v>9539994</v>
      </c>
      <c r="H16" s="27">
        <v>9699020</v>
      </c>
      <c r="I16" s="27">
        <v>9639550</v>
      </c>
      <c r="J16" s="27">
        <v>12672416</v>
      </c>
      <c r="K16" s="1"/>
      <c r="L16" s="1"/>
      <c r="M16" s="1"/>
    </row>
    <row r="17" spans="1:13" ht="12" customHeight="1" x14ac:dyDescent="0.2">
      <c r="A17" s="1"/>
      <c r="B17" s="10" t="s">
        <v>4</v>
      </c>
      <c r="C17" s="27">
        <v>27735918</v>
      </c>
      <c r="D17" s="27">
        <v>29029355</v>
      </c>
      <c r="E17" s="27">
        <v>34117544</v>
      </c>
      <c r="F17" s="27">
        <v>37528274</v>
      </c>
      <c r="G17" s="27">
        <v>39776233</v>
      </c>
      <c r="H17" s="27">
        <v>40223085</v>
      </c>
      <c r="I17" s="27">
        <v>36629390</v>
      </c>
      <c r="J17" s="27">
        <v>47393484</v>
      </c>
      <c r="K17" s="1"/>
      <c r="L17" s="1"/>
      <c r="M17" s="1"/>
    </row>
    <row r="18" spans="1:13" ht="12" customHeight="1" x14ac:dyDescent="0.2">
      <c r="A18" s="1"/>
      <c r="B18" s="10" t="s">
        <v>5</v>
      </c>
      <c r="C18" s="27">
        <v>6314595</v>
      </c>
      <c r="D18" s="27">
        <v>6790685</v>
      </c>
      <c r="E18" s="27">
        <v>7215604</v>
      </c>
      <c r="F18" s="27">
        <v>7937801</v>
      </c>
      <c r="G18" s="27">
        <v>8466037</v>
      </c>
      <c r="H18" s="27">
        <v>9074883</v>
      </c>
      <c r="I18" s="27">
        <v>8290017</v>
      </c>
      <c r="J18" s="27">
        <v>9927820</v>
      </c>
      <c r="K18" s="1"/>
      <c r="L18" s="1"/>
      <c r="M18" s="1"/>
    </row>
    <row r="19" spans="1:13" ht="12" customHeight="1" x14ac:dyDescent="0.2">
      <c r="A19" s="1"/>
      <c r="B19" s="10" t="s">
        <v>6</v>
      </c>
      <c r="C19" s="27">
        <v>13981262</v>
      </c>
      <c r="D19" s="27">
        <v>14438780</v>
      </c>
      <c r="E19" s="27">
        <v>14642859</v>
      </c>
      <c r="F19" s="27">
        <v>15666453</v>
      </c>
      <c r="G19" s="27">
        <v>16141488</v>
      </c>
      <c r="H19" s="27">
        <v>17052727</v>
      </c>
      <c r="I19" s="27">
        <v>16656370</v>
      </c>
      <c r="J19" s="27">
        <v>19666886</v>
      </c>
      <c r="K19" s="1"/>
      <c r="L19" s="1"/>
      <c r="M19" s="1"/>
    </row>
    <row r="20" spans="1:13" ht="12" customHeight="1" x14ac:dyDescent="0.2">
      <c r="A20" s="1"/>
      <c r="B20" s="10" t="s">
        <v>7</v>
      </c>
      <c r="C20" s="27">
        <v>22290912</v>
      </c>
      <c r="D20" s="27">
        <v>20016159</v>
      </c>
      <c r="E20" s="27">
        <v>20886866.833000001</v>
      </c>
      <c r="F20" s="27">
        <v>23107328</v>
      </c>
      <c r="G20" s="27">
        <v>26655916</v>
      </c>
      <c r="H20" s="27">
        <v>25189295</v>
      </c>
      <c r="I20" s="27">
        <v>22021719</v>
      </c>
      <c r="J20" s="27">
        <v>29448187</v>
      </c>
      <c r="K20" s="1"/>
      <c r="L20" s="1"/>
      <c r="M20" s="1"/>
    </row>
    <row r="21" spans="1:13" ht="12" customHeight="1" x14ac:dyDescent="0.2">
      <c r="A21" s="1"/>
      <c r="B21" s="10" t="s">
        <v>8</v>
      </c>
      <c r="C21" s="27">
        <v>4043568</v>
      </c>
      <c r="D21" s="27">
        <v>4280653</v>
      </c>
      <c r="E21" s="27">
        <v>4601593</v>
      </c>
      <c r="F21" s="27">
        <v>4904650</v>
      </c>
      <c r="G21" s="27">
        <v>5299880</v>
      </c>
      <c r="H21" s="27">
        <v>5610060</v>
      </c>
      <c r="I21" s="27">
        <v>5601338</v>
      </c>
      <c r="J21" s="27">
        <v>6266898</v>
      </c>
      <c r="K21" s="1"/>
      <c r="L21" s="1"/>
      <c r="M21" s="1"/>
    </row>
    <row r="22" spans="1:13" ht="12" customHeight="1" x14ac:dyDescent="0.2">
      <c r="A22" s="1"/>
      <c r="B22" s="10" t="s">
        <v>9</v>
      </c>
      <c r="C22" s="27">
        <v>6060012</v>
      </c>
      <c r="D22" s="27">
        <v>6831262</v>
      </c>
      <c r="E22" s="27">
        <v>7482819</v>
      </c>
      <c r="F22" s="27">
        <v>8138843</v>
      </c>
      <c r="G22" s="27">
        <v>8746692</v>
      </c>
      <c r="H22" s="27">
        <v>9250385</v>
      </c>
      <c r="I22" s="27">
        <v>8588204</v>
      </c>
      <c r="J22" s="27">
        <v>9683138</v>
      </c>
      <c r="K22" s="1"/>
      <c r="L22" s="1"/>
      <c r="M22" s="1"/>
    </row>
    <row r="23" spans="1:13" ht="12" customHeight="1" x14ac:dyDescent="0.2">
      <c r="A23" s="15"/>
      <c r="B23" s="9" t="s">
        <v>10</v>
      </c>
      <c r="C23" s="21">
        <v>18574928</v>
      </c>
      <c r="D23" s="21">
        <v>20475514</v>
      </c>
      <c r="E23" s="21">
        <v>20952248</v>
      </c>
      <c r="F23" s="21">
        <v>23148262</v>
      </c>
      <c r="G23" s="21">
        <v>24892056</v>
      </c>
      <c r="H23" s="21">
        <v>27058120</v>
      </c>
      <c r="I23" s="21">
        <v>25830328</v>
      </c>
      <c r="J23" s="21">
        <v>38363962</v>
      </c>
      <c r="K23" s="15"/>
      <c r="L23" s="15"/>
      <c r="M23" s="15"/>
    </row>
    <row r="24" spans="1:13" ht="12" customHeight="1" x14ac:dyDescent="0.2">
      <c r="A24" s="1"/>
      <c r="B24" s="10" t="s">
        <v>11</v>
      </c>
      <c r="C24" s="27">
        <v>14358743</v>
      </c>
      <c r="D24" s="27">
        <v>16465773</v>
      </c>
      <c r="E24" s="27">
        <v>17199824</v>
      </c>
      <c r="F24" s="27">
        <v>18728785</v>
      </c>
      <c r="G24" s="27">
        <v>19723557</v>
      </c>
      <c r="H24" s="27">
        <v>20028880</v>
      </c>
      <c r="I24" s="27">
        <v>19390604</v>
      </c>
      <c r="J24" s="27">
        <v>25229533</v>
      </c>
      <c r="K24" s="1"/>
      <c r="L24" s="1"/>
      <c r="M24" s="1"/>
    </row>
    <row r="25" spans="1:13" ht="12" customHeight="1" x14ac:dyDescent="0.2">
      <c r="A25" s="1"/>
      <c r="B25" s="10" t="s">
        <v>12</v>
      </c>
      <c r="C25" s="27">
        <v>25337060</v>
      </c>
      <c r="D25" s="27">
        <v>27260397</v>
      </c>
      <c r="E25" s="27">
        <v>29149894</v>
      </c>
      <c r="F25" s="27">
        <v>30397595</v>
      </c>
      <c r="G25" s="27">
        <v>31459662</v>
      </c>
      <c r="H25" s="27">
        <v>33175304</v>
      </c>
      <c r="I25" s="27">
        <v>32943843</v>
      </c>
      <c r="J25" s="27">
        <v>38005677</v>
      </c>
      <c r="K25" s="1"/>
      <c r="L25" s="1"/>
      <c r="M25" s="1"/>
    </row>
    <row r="26" spans="1:13" ht="12" customHeight="1" x14ac:dyDescent="0.2">
      <c r="A26" s="1"/>
      <c r="B26" s="10" t="s">
        <v>13</v>
      </c>
      <c r="C26" s="27">
        <v>13037238</v>
      </c>
      <c r="D26" s="27">
        <v>14275462</v>
      </c>
      <c r="E26" s="27">
        <v>15225187</v>
      </c>
      <c r="F26" s="27">
        <v>15973634</v>
      </c>
      <c r="G26" s="27">
        <v>16741841</v>
      </c>
      <c r="H26" s="27">
        <v>17290952</v>
      </c>
      <c r="I26" s="27">
        <v>17036111</v>
      </c>
      <c r="J26" s="27">
        <v>20339140</v>
      </c>
      <c r="K26" s="1"/>
      <c r="L26" s="1"/>
      <c r="M26" s="1"/>
    </row>
    <row r="27" spans="1:13" ht="12" customHeight="1" x14ac:dyDescent="0.2">
      <c r="A27" s="1"/>
      <c r="B27" s="10" t="s">
        <v>29</v>
      </c>
      <c r="C27" s="27">
        <v>259768263</v>
      </c>
      <c r="D27" s="27">
        <v>281502680</v>
      </c>
      <c r="E27" s="27">
        <v>301707302</v>
      </c>
      <c r="F27" s="27">
        <v>315313731</v>
      </c>
      <c r="G27" s="27">
        <v>333223773</v>
      </c>
      <c r="H27" s="27">
        <v>348781285</v>
      </c>
      <c r="I27" s="27">
        <v>317876309</v>
      </c>
      <c r="J27" s="27">
        <v>370986795</v>
      </c>
      <c r="K27" s="1"/>
      <c r="L27" s="1"/>
      <c r="M27" s="1"/>
    </row>
    <row r="28" spans="1:13" ht="12" customHeight="1" x14ac:dyDescent="0.2">
      <c r="A28" s="1"/>
      <c r="B28" s="10" t="s">
        <v>30</v>
      </c>
      <c r="C28" s="27">
        <v>25242158</v>
      </c>
      <c r="D28" s="27">
        <v>28606121</v>
      </c>
      <c r="E28" s="27">
        <v>30415118</v>
      </c>
      <c r="F28" s="27">
        <v>32362636</v>
      </c>
      <c r="G28" s="27">
        <v>34448742</v>
      </c>
      <c r="H28" s="27">
        <v>35942042</v>
      </c>
      <c r="I28" s="27">
        <v>31875482</v>
      </c>
      <c r="J28" s="27">
        <v>40853840</v>
      </c>
      <c r="K28" s="1"/>
      <c r="L28" s="1"/>
      <c r="M28" s="1"/>
    </row>
    <row r="29" spans="1:13" ht="12" customHeight="1" x14ac:dyDescent="0.2">
      <c r="A29" s="1"/>
      <c r="B29" s="10" t="s">
        <v>31</v>
      </c>
      <c r="C29" s="27">
        <v>18701087</v>
      </c>
      <c r="D29" s="27">
        <v>20209916</v>
      </c>
      <c r="E29" s="27">
        <v>21814209</v>
      </c>
      <c r="F29" s="27">
        <v>22507378</v>
      </c>
      <c r="G29" s="27">
        <v>24221401</v>
      </c>
      <c r="H29" s="27">
        <v>24040867</v>
      </c>
      <c r="I29" s="27">
        <v>23379202</v>
      </c>
      <c r="J29" s="27">
        <v>27647858</v>
      </c>
      <c r="K29" s="1"/>
      <c r="L29" s="1"/>
      <c r="M29" s="1"/>
    </row>
    <row r="30" spans="1:13" ht="12" customHeight="1" x14ac:dyDescent="0.2">
      <c r="A30" s="1"/>
      <c r="B30" s="10" t="s">
        <v>32</v>
      </c>
      <c r="C30" s="27">
        <v>215825018</v>
      </c>
      <c r="D30" s="27">
        <v>232686643</v>
      </c>
      <c r="E30" s="27">
        <v>249477975</v>
      </c>
      <c r="F30" s="27">
        <v>260443717</v>
      </c>
      <c r="G30" s="27">
        <v>274553630</v>
      </c>
      <c r="H30" s="27">
        <v>288798376</v>
      </c>
      <c r="I30" s="27">
        <v>262621625</v>
      </c>
      <c r="J30" s="27">
        <v>302485097</v>
      </c>
      <c r="K30" s="1"/>
      <c r="L30" s="1"/>
      <c r="M30" s="1"/>
    </row>
    <row r="31" spans="1:13" ht="12" customHeight="1" x14ac:dyDescent="0.2">
      <c r="A31" s="1"/>
      <c r="B31" s="10" t="s">
        <v>14</v>
      </c>
      <c r="C31" s="27">
        <v>10104692</v>
      </c>
      <c r="D31" s="27">
        <v>9178965</v>
      </c>
      <c r="E31" s="27">
        <v>9317334</v>
      </c>
      <c r="F31" s="27">
        <v>10049789</v>
      </c>
      <c r="G31" s="27">
        <v>11236331</v>
      </c>
      <c r="H31" s="27">
        <v>11543889</v>
      </c>
      <c r="I31" s="27">
        <v>10449519</v>
      </c>
      <c r="J31" s="27">
        <v>12057600</v>
      </c>
      <c r="K31" s="1"/>
      <c r="L31" s="1"/>
      <c r="M31" s="1"/>
    </row>
    <row r="32" spans="1:13" ht="12" customHeight="1" x14ac:dyDescent="0.2">
      <c r="A32" s="1"/>
      <c r="B32" s="10" t="s">
        <v>15</v>
      </c>
      <c r="C32" s="27">
        <v>2465589</v>
      </c>
      <c r="D32" s="27">
        <v>3119029</v>
      </c>
      <c r="E32" s="27">
        <v>3926628</v>
      </c>
      <c r="F32" s="27">
        <v>3560621</v>
      </c>
      <c r="G32" s="27">
        <v>3380603</v>
      </c>
      <c r="H32" s="27">
        <v>3224670</v>
      </c>
      <c r="I32" s="27">
        <v>2525830</v>
      </c>
      <c r="J32" s="27">
        <v>2831896</v>
      </c>
      <c r="K32" s="1"/>
      <c r="L32" s="1"/>
      <c r="M32" s="1"/>
    </row>
    <row r="33" spans="1:13" ht="12" customHeight="1" x14ac:dyDescent="0.2">
      <c r="A33" s="1"/>
      <c r="B33" s="10" t="s">
        <v>16</v>
      </c>
      <c r="C33" s="27">
        <v>7665810</v>
      </c>
      <c r="D33" s="27">
        <v>7462886</v>
      </c>
      <c r="E33" s="27">
        <v>7403309</v>
      </c>
      <c r="F33" s="27">
        <v>8471115</v>
      </c>
      <c r="G33" s="27">
        <v>9068574</v>
      </c>
      <c r="H33" s="27">
        <v>8476572</v>
      </c>
      <c r="I33" s="27">
        <v>8854306</v>
      </c>
      <c r="J33" s="27">
        <v>13517509</v>
      </c>
      <c r="K33" s="1"/>
      <c r="L33" s="1"/>
      <c r="M33" s="1"/>
    </row>
    <row r="34" spans="1:13" ht="12" customHeight="1" x14ac:dyDescent="0.2">
      <c r="A34" s="1"/>
      <c r="B34" s="10" t="s">
        <v>17</v>
      </c>
      <c r="C34" s="27">
        <v>5122250</v>
      </c>
      <c r="D34" s="27">
        <v>5233815</v>
      </c>
      <c r="E34" s="27">
        <v>5647209</v>
      </c>
      <c r="F34" s="27">
        <v>6228413</v>
      </c>
      <c r="G34" s="27">
        <v>6264438</v>
      </c>
      <c r="H34" s="27">
        <v>6528783</v>
      </c>
      <c r="I34" s="27">
        <v>5822922</v>
      </c>
      <c r="J34" s="27">
        <v>8618679</v>
      </c>
      <c r="K34" s="1"/>
      <c r="L34" s="1"/>
      <c r="M34" s="1"/>
    </row>
    <row r="35" spans="1:13" ht="12" customHeight="1" x14ac:dyDescent="0.2">
      <c r="A35" s="1"/>
      <c r="B35" s="10" t="s">
        <v>18</v>
      </c>
      <c r="C35" s="27">
        <v>23846290</v>
      </c>
      <c r="D35" s="27">
        <v>25249871</v>
      </c>
      <c r="E35" s="27">
        <v>25834142.877</v>
      </c>
      <c r="F35" s="27">
        <v>26521309</v>
      </c>
      <c r="G35" s="27">
        <v>30285460</v>
      </c>
      <c r="H35" s="27">
        <v>32329045</v>
      </c>
      <c r="I35" s="27">
        <v>29175545</v>
      </c>
      <c r="J35" s="27">
        <v>34072188</v>
      </c>
      <c r="K35" s="1"/>
      <c r="L35" s="1"/>
      <c r="M35" s="1"/>
    </row>
    <row r="36" spans="1:13" ht="12" customHeight="1" x14ac:dyDescent="0.2">
      <c r="A36" s="1"/>
      <c r="B36" s="10" t="s">
        <v>19</v>
      </c>
      <c r="C36" s="27">
        <v>12008971</v>
      </c>
      <c r="D36" s="27">
        <v>12347211</v>
      </c>
      <c r="E36" s="27">
        <v>13853273</v>
      </c>
      <c r="F36" s="27">
        <v>14703814</v>
      </c>
      <c r="G36" s="27">
        <v>15252919</v>
      </c>
      <c r="H36" s="27">
        <v>15884353</v>
      </c>
      <c r="I36" s="27">
        <v>14861095</v>
      </c>
      <c r="J36" s="27">
        <v>17207924</v>
      </c>
      <c r="K36" s="1"/>
      <c r="L36" s="1"/>
      <c r="M36" s="1"/>
    </row>
    <row r="37" spans="1:13" ht="12" customHeight="1" x14ac:dyDescent="0.2">
      <c r="A37" s="1"/>
      <c r="B37" s="10" t="s">
        <v>24</v>
      </c>
      <c r="C37" s="27">
        <v>6707637</v>
      </c>
      <c r="D37" s="27">
        <v>7290012</v>
      </c>
      <c r="E37" s="27">
        <v>7661279</v>
      </c>
      <c r="F37" s="27">
        <v>8330047</v>
      </c>
      <c r="G37" s="27">
        <v>8558878</v>
      </c>
      <c r="H37" s="27">
        <v>8582594</v>
      </c>
      <c r="I37" s="27">
        <v>8845031</v>
      </c>
      <c r="J37" s="27">
        <v>9772924</v>
      </c>
      <c r="K37" s="1"/>
      <c r="L37" s="1"/>
      <c r="M37" s="1"/>
    </row>
    <row r="38" spans="1:13" ht="12" customHeight="1" x14ac:dyDescent="0.2">
      <c r="A38" s="1"/>
      <c r="B38" s="10" t="s">
        <v>20</v>
      </c>
      <c r="C38" s="27">
        <v>6286784</v>
      </c>
      <c r="D38" s="27">
        <v>6474765</v>
      </c>
      <c r="E38" s="27">
        <v>6852502</v>
      </c>
      <c r="F38" s="27">
        <v>7659611</v>
      </c>
      <c r="G38" s="27">
        <v>8267316</v>
      </c>
      <c r="H38" s="27">
        <v>9552555</v>
      </c>
      <c r="I38" s="27">
        <v>9388760</v>
      </c>
      <c r="J38" s="27">
        <v>11972539</v>
      </c>
      <c r="K38" s="1"/>
      <c r="L38" s="1"/>
      <c r="M38" s="1"/>
    </row>
    <row r="39" spans="1:13" ht="12" customHeight="1" x14ac:dyDescent="0.2">
      <c r="A39" s="1"/>
      <c r="B39" s="10" t="s">
        <v>21</v>
      </c>
      <c r="C39" s="27">
        <v>3146341</v>
      </c>
      <c r="D39" s="27">
        <v>3120847</v>
      </c>
      <c r="E39" s="27">
        <v>3227239</v>
      </c>
      <c r="F39" s="27">
        <v>3548543</v>
      </c>
      <c r="G39" s="27">
        <v>3820966</v>
      </c>
      <c r="H39" s="27">
        <v>4137649</v>
      </c>
      <c r="I39" s="27">
        <v>3898478</v>
      </c>
      <c r="J39" s="27">
        <v>4350260</v>
      </c>
      <c r="K39" s="1"/>
      <c r="L39" s="1"/>
      <c r="M39" s="1"/>
    </row>
    <row r="40" spans="1:13" ht="12" customHeight="1" x14ac:dyDescent="0.2">
      <c r="A40" s="1"/>
      <c r="B40" s="10" t="s">
        <v>22</v>
      </c>
      <c r="C40" s="27">
        <v>4990072</v>
      </c>
      <c r="D40" s="27">
        <v>5379470</v>
      </c>
      <c r="E40" s="27">
        <v>5677898.6850000005</v>
      </c>
      <c r="F40" s="27">
        <v>5957449</v>
      </c>
      <c r="G40" s="27">
        <v>6372797</v>
      </c>
      <c r="H40" s="27">
        <v>6699130</v>
      </c>
      <c r="I40" s="27">
        <v>6137784</v>
      </c>
      <c r="J40" s="27">
        <v>7324639</v>
      </c>
      <c r="K40" s="1"/>
      <c r="L40" s="1"/>
      <c r="M40" s="1"/>
    </row>
    <row r="41" spans="1:13" ht="2.25" customHeight="1" x14ac:dyDescent="0.2">
      <c r="A41" s="1"/>
      <c r="B41" s="12"/>
      <c r="C41" s="3"/>
      <c r="D41" s="3"/>
      <c r="E41" s="3"/>
      <c r="F41" s="3"/>
      <c r="G41" s="3"/>
      <c r="H41" s="3"/>
      <c r="I41" s="3"/>
      <c r="J41" s="3"/>
      <c r="K41" s="1"/>
      <c r="L41" s="1"/>
      <c r="M41" s="1"/>
    </row>
    <row r="42" spans="1:13" ht="10.5" customHeight="1" x14ac:dyDescent="0.2">
      <c r="A42" s="1"/>
      <c r="B42" s="19" t="s">
        <v>42</v>
      </c>
      <c r="C42" s="17"/>
      <c r="D42" s="17"/>
      <c r="E42" s="17"/>
      <c r="F42" s="17"/>
      <c r="G42" s="17"/>
      <c r="H42" s="17"/>
      <c r="I42" s="17"/>
      <c r="J42" s="1"/>
      <c r="K42" s="1"/>
      <c r="L42" s="1"/>
      <c r="M42" s="1"/>
    </row>
    <row r="43" spans="1:13" ht="10.5" customHeight="1" x14ac:dyDescent="0.2">
      <c r="A43" s="1"/>
      <c r="B43" s="4" t="s">
        <v>27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ht="9" customHeight="1" x14ac:dyDescent="0.2">
      <c r="A44" s="1"/>
      <c r="B44" s="2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ht="13.5" x14ac:dyDescent="0.2">
      <c r="A45" s="1"/>
      <c r="B45" s="2"/>
      <c r="C45" s="1"/>
      <c r="D45" s="1"/>
      <c r="E45" s="1"/>
      <c r="F45" s="1"/>
      <c r="G45" s="1"/>
      <c r="H45" s="1"/>
      <c r="I45" s="16"/>
      <c r="J45" s="1"/>
      <c r="K45" s="25"/>
      <c r="L45" s="25"/>
      <c r="M45" s="25"/>
    </row>
    <row r="46" spans="1:13" ht="12.75" x14ac:dyDescent="0.2">
      <c r="A46" s="1"/>
      <c r="B46" s="2"/>
      <c r="C46" s="1"/>
      <c r="D46" s="1"/>
      <c r="E46" s="1"/>
      <c r="F46" s="1"/>
      <c r="G46" s="1"/>
      <c r="H46" s="1"/>
      <c r="I46" s="1"/>
      <c r="J46" s="1"/>
      <c r="K46" s="26"/>
      <c r="L46" s="8"/>
      <c r="M46" s="8"/>
    </row>
    <row r="47" spans="1:13" ht="12.75" x14ac:dyDescent="0.2">
      <c r="A47" s="1"/>
      <c r="B47" s="2"/>
      <c r="C47" s="1"/>
      <c r="D47" s="1"/>
      <c r="E47" s="1"/>
      <c r="F47" s="1"/>
      <c r="G47" s="1"/>
      <c r="H47" s="1"/>
      <c r="I47" s="1"/>
      <c r="J47" s="1"/>
      <c r="K47" s="26"/>
      <c r="L47" s="8"/>
      <c r="M47" s="18"/>
    </row>
    <row r="48" spans="1:13" ht="12.75" x14ac:dyDescent="0.2">
      <c r="A48" s="1"/>
      <c r="B48" s="2"/>
      <c r="C48" s="1"/>
      <c r="D48" s="1"/>
      <c r="E48" s="1"/>
      <c r="F48" s="1"/>
      <c r="G48" s="1"/>
      <c r="H48" s="1"/>
      <c r="I48" s="1"/>
      <c r="J48" s="1"/>
      <c r="K48" s="26"/>
      <c r="L48" s="8">
        <v>2014</v>
      </c>
      <c r="M48" s="18">
        <v>18575</v>
      </c>
    </row>
    <row r="49" spans="1:13" ht="12.75" x14ac:dyDescent="0.2">
      <c r="A49" s="1"/>
      <c r="B49" s="2"/>
      <c r="C49" s="1"/>
      <c r="D49" s="1"/>
      <c r="E49" s="1"/>
      <c r="F49" s="1"/>
      <c r="G49" s="1"/>
      <c r="H49" s="1"/>
      <c r="I49" s="1"/>
      <c r="J49" s="1"/>
      <c r="K49" s="26"/>
      <c r="L49" s="8">
        <v>2015</v>
      </c>
      <c r="M49" s="18">
        <v>20476</v>
      </c>
    </row>
    <row r="50" spans="1:13" ht="12.75" x14ac:dyDescent="0.2">
      <c r="A50" s="1"/>
      <c r="B50" s="2"/>
      <c r="C50" s="1"/>
      <c r="D50" s="1"/>
      <c r="E50" s="1"/>
      <c r="F50" s="1"/>
      <c r="G50" s="1"/>
      <c r="H50" s="1"/>
      <c r="I50" s="1"/>
      <c r="J50" s="1"/>
      <c r="K50" s="26"/>
      <c r="L50" s="8">
        <v>2016</v>
      </c>
      <c r="M50" s="18">
        <v>20952</v>
      </c>
    </row>
    <row r="51" spans="1:13" ht="12.75" x14ac:dyDescent="0.2">
      <c r="A51" s="1"/>
      <c r="B51" s="2"/>
      <c r="C51" s="1"/>
      <c r="D51" s="1"/>
      <c r="E51" s="1"/>
      <c r="F51" s="1"/>
      <c r="G51" s="1"/>
      <c r="H51" s="1"/>
      <c r="I51" s="1"/>
      <c r="J51" s="1"/>
      <c r="K51" s="26"/>
      <c r="L51" s="8">
        <v>2017</v>
      </c>
      <c r="M51" s="18">
        <v>23148</v>
      </c>
    </row>
    <row r="52" spans="1:13" ht="12.75" x14ac:dyDescent="0.2">
      <c r="A52" s="1"/>
      <c r="B52" s="2"/>
      <c r="C52" s="1"/>
      <c r="D52" s="1"/>
      <c r="E52" s="1"/>
      <c r="F52" s="1"/>
      <c r="G52" s="1"/>
      <c r="H52" s="1"/>
      <c r="I52" s="1"/>
      <c r="J52" s="1"/>
      <c r="K52" s="26"/>
      <c r="L52" s="8">
        <v>2018</v>
      </c>
      <c r="M52" s="18">
        <v>24892</v>
      </c>
    </row>
    <row r="53" spans="1:13" ht="12.75" x14ac:dyDescent="0.2">
      <c r="A53" s="1"/>
      <c r="B53" s="2"/>
      <c r="C53" s="1"/>
      <c r="D53" s="1"/>
      <c r="E53" s="1"/>
      <c r="F53" s="1"/>
      <c r="G53" s="1"/>
      <c r="H53" s="1"/>
      <c r="I53" s="1"/>
      <c r="J53" s="1"/>
      <c r="K53" s="26"/>
      <c r="L53" s="8">
        <v>2019</v>
      </c>
      <c r="M53" s="18">
        <v>27058</v>
      </c>
    </row>
    <row r="54" spans="1:13" ht="12.75" x14ac:dyDescent="0.2">
      <c r="A54" s="1"/>
      <c r="B54" s="2"/>
      <c r="C54" s="1"/>
      <c r="D54" s="1"/>
      <c r="E54" s="1"/>
      <c r="F54" s="1"/>
      <c r="G54" s="1"/>
      <c r="H54" s="1"/>
      <c r="I54" s="1"/>
      <c r="J54" s="1"/>
      <c r="K54" s="26"/>
      <c r="L54" s="8">
        <v>2020</v>
      </c>
      <c r="M54" s="18">
        <v>25830</v>
      </c>
    </row>
    <row r="55" spans="1:13" ht="12.75" x14ac:dyDescent="0.2">
      <c r="A55" s="1"/>
      <c r="B55" s="2"/>
      <c r="C55" s="1"/>
      <c r="D55" s="1"/>
      <c r="E55" s="1"/>
      <c r="F55" s="1"/>
      <c r="G55" s="1"/>
      <c r="H55" s="1"/>
      <c r="I55" s="1"/>
      <c r="J55" s="1"/>
      <c r="K55" s="26"/>
      <c r="L55" s="8">
        <v>2021</v>
      </c>
      <c r="M55" s="18">
        <v>38363.9</v>
      </c>
    </row>
    <row r="56" spans="1:13" ht="12.75" x14ac:dyDescent="0.2">
      <c r="A56" s="1"/>
      <c r="B56" s="2"/>
      <c r="C56" s="1"/>
      <c r="D56" s="1"/>
      <c r="E56" s="1"/>
      <c r="F56" s="1"/>
      <c r="G56" s="1"/>
      <c r="H56" s="1"/>
      <c r="I56" s="1"/>
      <c r="J56" s="1"/>
      <c r="K56" s="26"/>
      <c r="L56" s="8"/>
      <c r="M56" s="8"/>
    </row>
    <row r="57" spans="1:13" ht="12.75" x14ac:dyDescent="0.2">
      <c r="A57" s="1"/>
      <c r="B57" s="2"/>
      <c r="C57" s="1"/>
      <c r="D57" s="1"/>
      <c r="E57" s="1"/>
      <c r="F57" s="1"/>
      <c r="G57" s="1"/>
      <c r="H57" s="1"/>
      <c r="I57" s="1"/>
      <c r="J57" s="1"/>
      <c r="K57" s="8"/>
      <c r="L57" s="8"/>
      <c r="M57" s="8"/>
    </row>
    <row r="58" spans="1:13" ht="12.75" x14ac:dyDescent="0.2">
      <c r="A58" s="1"/>
      <c r="B58" s="2"/>
      <c r="C58" s="1"/>
      <c r="D58" s="1"/>
      <c r="E58" s="1"/>
      <c r="F58" s="1"/>
      <c r="G58" s="1"/>
      <c r="H58" s="1"/>
      <c r="I58" s="1"/>
      <c r="J58" s="1"/>
      <c r="K58" s="8"/>
      <c r="L58" s="8"/>
      <c r="M58" s="8"/>
    </row>
    <row r="59" spans="1:13" ht="12.75" x14ac:dyDescent="0.2">
      <c r="A59" s="1"/>
      <c r="B59" s="2"/>
      <c r="C59" s="1"/>
      <c r="D59" s="1"/>
      <c r="E59" s="1"/>
      <c r="F59" s="1"/>
      <c r="G59" s="1"/>
      <c r="H59" s="1"/>
      <c r="I59" s="1"/>
      <c r="J59" s="1"/>
      <c r="K59" s="24"/>
      <c r="L59" s="24"/>
      <c r="M59" s="24"/>
    </row>
    <row r="60" spans="1:13" ht="12.75" x14ac:dyDescent="0.2">
      <c r="A60" s="1"/>
      <c r="B60" s="2"/>
      <c r="C60" s="1"/>
      <c r="D60" s="1"/>
      <c r="E60" s="1"/>
      <c r="F60" s="1"/>
      <c r="G60" s="1"/>
      <c r="H60" s="1"/>
      <c r="I60" s="1"/>
      <c r="J60" s="1"/>
      <c r="K60" s="24"/>
      <c r="L60" s="24"/>
      <c r="M60" s="24"/>
    </row>
    <row r="62" spans="1:13" ht="13.15" customHeight="1" x14ac:dyDescent="0.2">
      <c r="I62" s="28"/>
    </row>
  </sheetData>
  <phoneticPr fontId="0" type="noConversion"/>
  <printOptions horizontalCentered="1"/>
  <pageMargins left="0.59055118110236227" right="0.78740157480314965" top="0.78740157480314965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21,7  </vt:lpstr>
      <vt:lpstr>'  21,7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2014-09-23T01:00:43Z</cp:lastPrinted>
  <dcterms:created xsi:type="dcterms:W3CDTF">2003-11-21T14:29:33Z</dcterms:created>
  <dcterms:modified xsi:type="dcterms:W3CDTF">2022-12-26T16:10:23Z</dcterms:modified>
</cp:coreProperties>
</file>