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23-Financiero\"/>
    </mc:Choice>
  </mc:AlternateContent>
  <bookViews>
    <workbookView xWindow="0" yWindow="0" windowWidth="10395" windowHeight="3630"/>
  </bookViews>
  <sheets>
    <sheet name="  23,3  " sheetId="1" r:id="rId1"/>
    <sheet name="GRAFICO" sheetId="2" state="hidden" r:id="rId2"/>
  </sheets>
  <definedNames>
    <definedName name="_xlnm.Print_Area" localSheetId="0">'  23,3  '!$B$2:$G$61</definedName>
    <definedName name="_xlnm.Print_Area" localSheetId="1">GRAFICO!$A$1:$I$22</definedName>
  </definedNames>
  <calcPr calcId="162913"/>
</workbook>
</file>

<file path=xl/calcChain.xml><?xml version="1.0" encoding="utf-8"?>
<calcChain xmlns="http://schemas.openxmlformats.org/spreadsheetml/2006/main">
  <c r="C12" i="1" l="1"/>
  <c r="G53" i="1" l="1"/>
  <c r="F53" i="1"/>
  <c r="E53" i="1"/>
  <c r="D53" i="1"/>
  <c r="C52" i="1"/>
  <c r="C59" i="1"/>
  <c r="C58" i="1"/>
  <c r="C57" i="1"/>
  <c r="C56" i="1"/>
  <c r="C55" i="1"/>
  <c r="C54" i="1"/>
  <c r="C53" i="1"/>
  <c r="C44" i="1" l="1"/>
  <c r="C43" i="1"/>
  <c r="C42" i="1"/>
  <c r="C41" i="1"/>
  <c r="C40" i="1"/>
  <c r="C38" i="1"/>
  <c r="C37" i="1"/>
  <c r="G36" i="1"/>
  <c r="F36" i="1"/>
  <c r="E36" i="1"/>
  <c r="D36" i="1"/>
  <c r="C35" i="1"/>
  <c r="C34" i="1"/>
  <c r="C33" i="1"/>
  <c r="C32" i="1"/>
  <c r="C31" i="1"/>
  <c r="C29" i="1"/>
  <c r="C28" i="1"/>
  <c r="G27" i="1"/>
  <c r="F27" i="1"/>
  <c r="E27" i="1"/>
  <c r="D27" i="1"/>
  <c r="C26" i="1"/>
  <c r="C25" i="1"/>
  <c r="C24" i="1"/>
  <c r="C23" i="1"/>
  <c r="C22" i="1"/>
  <c r="C21" i="1"/>
  <c r="C20" i="1"/>
  <c r="C19" i="1"/>
  <c r="G18" i="1"/>
  <c r="F18" i="1"/>
  <c r="E18" i="1"/>
  <c r="D18" i="1"/>
  <c r="C17" i="1"/>
  <c r="C16" i="1"/>
  <c r="C15" i="1"/>
  <c r="C14" i="1"/>
  <c r="C13" i="1"/>
  <c r="C11" i="1"/>
  <c r="C10" i="1"/>
  <c r="C9" i="1"/>
  <c r="G8" i="1"/>
  <c r="F8" i="1"/>
  <c r="E8" i="1"/>
  <c r="D8" i="1"/>
  <c r="C18" i="1" l="1"/>
  <c r="C27" i="1"/>
  <c r="C36" i="1"/>
  <c r="C8" i="1"/>
  <c r="C51" i="1" l="1"/>
  <c r="C50" i="1"/>
  <c r="C49" i="1"/>
  <c r="C48" i="1"/>
  <c r="C46" i="1"/>
  <c r="C45" i="1" l="1"/>
  <c r="G45" i="1"/>
  <c r="F45" i="1"/>
  <c r="E45" i="1"/>
  <c r="D45" i="1"/>
</calcChain>
</file>

<file path=xl/sharedStrings.xml><?xml version="1.0" encoding="utf-8"?>
<sst xmlns="http://schemas.openxmlformats.org/spreadsheetml/2006/main" count="82" uniqueCount="27">
  <si>
    <t>TOTAL</t>
  </si>
  <si>
    <t>NASCA</t>
  </si>
  <si>
    <t>CHINCHA ALTA</t>
  </si>
  <si>
    <t>ICA</t>
  </si>
  <si>
    <t>MARCONA</t>
  </si>
  <si>
    <t>PISCO</t>
  </si>
  <si>
    <t>-</t>
  </si>
  <si>
    <t>Distrito</t>
  </si>
  <si>
    <t>Total</t>
  </si>
  <si>
    <t>A la Vista</t>
  </si>
  <si>
    <t>A Plazo</t>
  </si>
  <si>
    <t>Ahorro</t>
  </si>
  <si>
    <t>Créditos                           Directos</t>
  </si>
  <si>
    <t>Depósitos</t>
  </si>
  <si>
    <t>Ica</t>
  </si>
  <si>
    <t>Marcona</t>
  </si>
  <si>
    <t>Nasca</t>
  </si>
  <si>
    <t>Pisco</t>
  </si>
  <si>
    <t>Pueblo Nuevo</t>
  </si>
  <si>
    <t>Chincha Alta</t>
  </si>
  <si>
    <t>Parcona</t>
  </si>
  <si>
    <t>Grocio Prado</t>
  </si>
  <si>
    <t xml:space="preserve">Fuente: Superintendencia de Banca y Seguros. </t>
  </si>
  <si>
    <t>Sunampe</t>
  </si>
  <si>
    <t xml:space="preserve">        (Miles de soles)</t>
  </si>
  <si>
    <t>23.3  ICA:  DEPÓSITOS Y CRÉDITOS DIRECTOS DE LA BANCA MÚLTIPLE, SEGÚN DISTRITO, 2017 - 2022</t>
  </si>
  <si>
    <t>2022 (Junio)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</si>
</sst>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0.0"/>
    <numFmt numFmtId="166" formatCode="#\ ###\ ###"/>
  </numFmts>
  <fonts count="13" x14ac:knownFonts="1">
    <font>
      <sz val="10"/>
      <name val="Arial"/>
    </font>
    <font>
      <sz val="10"/>
      <name val="Arial"/>
      <family val="2"/>
    </font>
    <font>
      <sz val="10"/>
      <name val="Helv"/>
    </font>
    <font>
      <sz val="8"/>
      <name val="Times New Roman"/>
      <family val="1"/>
    </font>
    <font>
      <sz val="8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b/>
      <sz val="7"/>
      <name val="Arial Narrow"/>
      <family val="2"/>
    </font>
    <font>
      <b/>
      <sz val="9"/>
      <name val="Arial Narrow"/>
      <family val="2"/>
    </font>
    <font>
      <b/>
      <sz val="8"/>
      <color theme="1"/>
      <name val="Arial Narrow"/>
      <family val="2"/>
    </font>
    <font>
      <b/>
      <sz val="8"/>
      <color indexed="10"/>
      <name val="Arial Narrow"/>
      <family val="2"/>
    </font>
    <font>
      <u/>
      <sz val="10"/>
      <name val="Arial"/>
      <family val="2"/>
    </font>
    <font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0" fontId="2" fillId="0" borderId="0"/>
  </cellStyleXfs>
  <cellXfs count="39">
    <xf numFmtId="0" fontId="0" fillId="0" borderId="0" xfId="0"/>
    <xf numFmtId="0" fontId="3" fillId="2" borderId="0" xfId="0" applyFont="1" applyFill="1"/>
    <xf numFmtId="0" fontId="4" fillId="2" borderId="0" xfId="2" applyFont="1" applyFill="1"/>
    <xf numFmtId="165" fontId="4" fillId="2" borderId="0" xfId="2" applyNumberFormat="1" applyFont="1" applyFill="1"/>
    <xf numFmtId="0" fontId="5" fillId="2" borderId="0" xfId="3" applyFont="1" applyFill="1" applyAlignment="1" applyProtection="1">
      <alignment horizontal="left"/>
    </xf>
    <xf numFmtId="0" fontId="6" fillId="2" borderId="0" xfId="3" applyFont="1" applyFill="1"/>
    <xf numFmtId="0" fontId="5" fillId="2" borderId="0" xfId="3" applyFont="1" applyFill="1" applyBorder="1" applyAlignment="1" applyProtection="1">
      <alignment horizontal="left"/>
    </xf>
    <xf numFmtId="0" fontId="6" fillId="2" borderId="0" xfId="3" applyFont="1" applyFill="1" applyBorder="1" applyProtection="1"/>
    <xf numFmtId="0" fontId="6" fillId="2" borderId="2" xfId="3" applyFont="1" applyFill="1" applyBorder="1" applyProtection="1"/>
    <xf numFmtId="0" fontId="7" fillId="2" borderId="0" xfId="3" applyFont="1" applyFill="1" applyAlignment="1" applyProtection="1">
      <alignment horizontal="left"/>
    </xf>
    <xf numFmtId="0" fontId="6" fillId="2" borderId="0" xfId="0" applyFont="1" applyFill="1"/>
    <xf numFmtId="0" fontId="10" fillId="2" borderId="0" xfId="0" applyFont="1" applyFill="1"/>
    <xf numFmtId="0" fontId="6" fillId="2" borderId="3" xfId="3" applyFont="1" applyFill="1" applyBorder="1" applyAlignment="1" applyProtection="1">
      <alignment horizontal="left"/>
    </xf>
    <xf numFmtId="0" fontId="6" fillId="2" borderId="4" xfId="3" applyFont="1" applyFill="1" applyBorder="1"/>
    <xf numFmtId="0" fontId="5" fillId="2" borderId="3" xfId="3" quotePrefix="1" applyFont="1" applyFill="1" applyBorder="1" applyAlignment="1" applyProtection="1">
      <alignment horizontal="left" vertical="center"/>
    </xf>
    <xf numFmtId="0" fontId="6" fillId="2" borderId="3" xfId="3" applyFont="1" applyFill="1" applyBorder="1" applyAlignment="1" applyProtection="1">
      <alignment horizontal="left" vertical="center"/>
    </xf>
    <xf numFmtId="166" fontId="5" fillId="2" borderId="0" xfId="3" applyNumberFormat="1" applyFont="1" applyFill="1" applyBorder="1" applyAlignment="1" applyProtection="1">
      <alignment horizontal="right" vertical="center"/>
    </xf>
    <xf numFmtId="166" fontId="9" fillId="0" borderId="0" xfId="1" applyNumberFormat="1" applyFont="1" applyBorder="1" applyAlignment="1">
      <alignment horizontal="right" vertical="center"/>
    </xf>
    <xf numFmtId="0" fontId="5" fillId="2" borderId="3" xfId="3" quotePrefix="1" applyNumberFormat="1" applyFont="1" applyFill="1" applyBorder="1" applyAlignment="1" applyProtection="1">
      <alignment horizontal="left" vertical="center"/>
    </xf>
    <xf numFmtId="166" fontId="6" fillId="2" borderId="0" xfId="3" applyNumberFormat="1" applyFont="1" applyFill="1" applyBorder="1" applyAlignment="1" applyProtection="1">
      <alignment horizontal="right" vertical="center"/>
    </xf>
    <xf numFmtId="166" fontId="6" fillId="0" borderId="0" xfId="0" applyNumberFormat="1" applyFont="1" applyFill="1" applyBorder="1" applyAlignment="1">
      <alignment vertical="center"/>
    </xf>
    <xf numFmtId="166" fontId="6" fillId="0" borderId="0" xfId="0" applyNumberFormat="1" applyFont="1" applyFill="1" applyAlignment="1">
      <alignment vertical="center"/>
    </xf>
    <xf numFmtId="166" fontId="6" fillId="0" borderId="0" xfId="0" applyNumberFormat="1" applyFont="1" applyFill="1" applyAlignment="1">
      <alignment horizontal="right" vertical="center"/>
    </xf>
    <xf numFmtId="0" fontId="6" fillId="2" borderId="0" xfId="3" applyFont="1" applyFill="1" applyBorder="1" applyAlignment="1" applyProtection="1">
      <alignment horizontal="left" vertical="top"/>
    </xf>
    <xf numFmtId="0" fontId="5" fillId="2" borderId="7" xfId="3" applyFont="1" applyFill="1" applyBorder="1" applyAlignment="1" applyProtection="1">
      <alignment horizontal="right" vertical="top"/>
    </xf>
    <xf numFmtId="0" fontId="5" fillId="2" borderId="2" xfId="3" applyFont="1" applyFill="1" applyBorder="1" applyAlignment="1" applyProtection="1">
      <alignment horizontal="right" vertical="top"/>
    </xf>
    <xf numFmtId="0" fontId="8" fillId="2" borderId="0" xfId="3" applyFont="1" applyFill="1" applyAlignment="1" applyProtection="1">
      <alignment vertical="top"/>
    </xf>
    <xf numFmtId="166" fontId="6" fillId="0" borderId="0" xfId="0" applyNumberFormat="1" applyFont="1" applyFill="1" applyBorder="1" applyAlignment="1">
      <alignment horizontal="right" vertical="center" wrapText="1"/>
    </xf>
    <xf numFmtId="166" fontId="9" fillId="0" borderId="0" xfId="1" applyNumberFormat="1" applyFont="1" applyBorder="1" applyAlignment="1">
      <alignment horizontal="right" vertical="center" wrapText="1"/>
    </xf>
    <xf numFmtId="166" fontId="6" fillId="0" borderId="0" xfId="0" applyNumberFormat="1" applyFont="1" applyFill="1" applyAlignment="1">
      <alignment horizontal="right" vertical="center" wrapText="1"/>
    </xf>
    <xf numFmtId="166" fontId="6" fillId="0" borderId="0" xfId="0" applyNumberFormat="1" applyFont="1" applyFill="1" applyBorder="1"/>
    <xf numFmtId="0" fontId="11" fillId="0" borderId="0" xfId="0" applyFont="1"/>
    <xf numFmtId="0" fontId="12" fillId="0" borderId="0" xfId="0" applyFont="1"/>
    <xf numFmtId="0" fontId="5" fillId="2" borderId="8" xfId="3" applyFont="1" applyFill="1" applyBorder="1" applyAlignment="1" applyProtection="1">
      <alignment horizontal="center" vertical="center"/>
    </xf>
    <xf numFmtId="0" fontId="6" fillId="2" borderId="3" xfId="3" applyFont="1" applyFill="1" applyBorder="1" applyAlignment="1">
      <alignment horizontal="center" vertical="center"/>
    </xf>
    <xf numFmtId="0" fontId="5" fillId="2" borderId="5" xfId="3" applyFont="1" applyFill="1" applyBorder="1" applyAlignment="1" applyProtection="1">
      <alignment horizontal="center" vertical="center"/>
    </xf>
    <xf numFmtId="0" fontId="5" fillId="2" borderId="1" xfId="3" applyFont="1" applyFill="1" applyBorder="1" applyAlignment="1" applyProtection="1">
      <alignment horizontal="center" vertical="center"/>
    </xf>
    <xf numFmtId="0" fontId="5" fillId="2" borderId="6" xfId="3" applyFont="1" applyFill="1" applyBorder="1" applyAlignment="1" applyProtection="1">
      <alignment horizontal="right" vertical="top" wrapText="1"/>
    </xf>
    <xf numFmtId="0" fontId="6" fillId="2" borderId="2" xfId="3" applyFont="1" applyFill="1" applyBorder="1" applyAlignment="1">
      <alignment horizontal="right" vertical="top" wrapText="1"/>
    </xf>
  </cellXfs>
  <cellStyles count="4">
    <cellStyle name="Millares" xfId="1" builtinId="3"/>
    <cellStyle name="Normal" xfId="0" builtinId="0"/>
    <cellStyle name="Normal_GRAFICO" xfId="2"/>
    <cellStyle name="Normal_Hoja1" xf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8080"/>
                </a:solidFill>
                <a:latin typeface="Times New Roman"/>
                <a:ea typeface="Times New Roman"/>
                <a:cs typeface="Times New Roman"/>
              </a:defRPr>
            </a:pPr>
            <a:r>
              <a:t>ICA:DEPOSITOS POR CIUDADES, AL 31 DE DICIEMBRE DEL 2003                               ( Miles Nuevos Soles )</a:t>
            </a:r>
          </a:p>
        </c:rich>
      </c:tx>
      <c:layout>
        <c:manualLayout>
          <c:xMode val="edge"/>
          <c:yMode val="edge"/>
          <c:x val="0.15758775289275609"/>
          <c:y val="3.6231884057971016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hPercent val="42"/>
      <c:rotY val="20"/>
      <c:depthPercent val="100"/>
      <c:rAngAx val="1"/>
    </c:view3D>
    <c:floor>
      <c:thickness val="0"/>
      <c:spPr>
        <a:solidFill>
          <a:srgbClr val="C0C0C0"/>
        </a:solidFill>
        <a:ln w="12700">
          <a:solidFill>
            <a:srgbClr val="33CCCC"/>
          </a:solidFill>
          <a:prstDash val="solid"/>
        </a:ln>
      </c:spPr>
    </c:floor>
    <c:side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100000">
              <a:srgbClr xmlns:mc="http://schemas.openxmlformats.org/markup-compatibility/2006" xmlns:a14="http://schemas.microsoft.com/office/drawing/2010/main" val="DCDCDC" mc:Ignorable="a14" a14:legacySpreadsheetColorIndex="9">
                <a:gamma/>
                <a:shade val="86275"/>
                <a:invGamma/>
              </a:srgbClr>
            </a:gs>
          </a:gsLst>
          <a:lin ang="5400000" scaled="1"/>
        </a:gradFill>
        <a:ln w="12700">
          <a:solidFill>
            <a:srgbClr val="33CCCC"/>
          </a:solidFill>
          <a:prstDash val="solid"/>
        </a:ln>
      </c:spPr>
    </c:sideWall>
    <c:back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100000">
              <a:srgbClr xmlns:mc="http://schemas.openxmlformats.org/markup-compatibility/2006" xmlns:a14="http://schemas.microsoft.com/office/drawing/2010/main" val="DCDCDC" mc:Ignorable="a14" a14:legacySpreadsheetColorIndex="9">
                <a:gamma/>
                <a:shade val="86275"/>
                <a:invGamma/>
              </a:srgbClr>
            </a:gs>
          </a:gsLst>
          <a:lin ang="5400000" scaled="1"/>
        </a:gradFill>
        <a:ln w="12700">
          <a:solidFill>
            <a:srgbClr val="33CCCC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9.727635700043033E-2"/>
          <c:y val="0.21376887231400132"/>
          <c:w val="0.87159615872385576"/>
          <c:h val="0.608697805911054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rgbClr val="CCFFCC"/>
            </a:solidFill>
            <a:ln w="12700">
              <a:solidFill>
                <a:srgbClr val="33CCCC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5.8608867654152963E-3"/>
                  <c:y val="-1.59422855765981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17-4510-9EB5-2E93108610B8}"/>
                </c:ext>
              </c:extLst>
            </c:dLbl>
            <c:dLbl>
              <c:idx val="1"/>
              <c:layout>
                <c:manualLayout>
                  <c:x val="8.8226933978673427E-3"/>
                  <c:y val="-9.9042325436522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17-4510-9EB5-2E93108610B8}"/>
                </c:ext>
              </c:extLst>
            </c:dLbl>
            <c:dLbl>
              <c:idx val="2"/>
              <c:layout>
                <c:manualLayout>
                  <c:x val="1.1784288382976404E-2"/>
                  <c:y val="-1.38747956221455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17-4510-9EB5-2E93108610B8}"/>
                </c:ext>
              </c:extLst>
            </c:dLbl>
            <c:dLbl>
              <c:idx val="3"/>
              <c:layout>
                <c:manualLayout>
                  <c:x val="1.4746095015428451E-2"/>
                  <c:y val="-9.558597357579912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17-4510-9EB5-2E93108610B8}"/>
                </c:ext>
              </c:extLst>
            </c:dLbl>
            <c:dLbl>
              <c:idx val="4"/>
              <c:layout>
                <c:manualLayout>
                  <c:x val="1.7707693696897175E-2"/>
                  <c:y val="-5.095424199611842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17-4510-9EB5-2E93108610B8}"/>
                </c:ext>
              </c:extLst>
            </c:dLbl>
            <c:dLbl>
              <c:idx val="5"/>
              <c:layout>
                <c:manualLayout>
                  <c:x val="1.8723765238357171E-2"/>
                  <c:y val="-1.18863278621800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017-4510-9EB5-2E93108610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00" b="1" i="0" u="none" strike="noStrike" baseline="0">
                    <a:solidFill>
                      <a:srgbClr val="00808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GRAFICO!$K$2:$K$7</c:f>
              <c:strCache>
                <c:ptCount val="6"/>
                <c:pt idx="0">
                  <c:v>TOTAL</c:v>
                </c:pt>
                <c:pt idx="1">
                  <c:v>CHINCHA ALTA</c:v>
                </c:pt>
                <c:pt idx="2">
                  <c:v>ICA</c:v>
                </c:pt>
                <c:pt idx="3">
                  <c:v>MARCONA</c:v>
                </c:pt>
                <c:pt idx="4">
                  <c:v>NASCA</c:v>
                </c:pt>
                <c:pt idx="5">
                  <c:v>PISCO</c:v>
                </c:pt>
              </c:strCache>
            </c:strRef>
          </c:cat>
          <c:val>
            <c:numRef>
              <c:f>GRAFICO!$L$2:$L$7</c:f>
              <c:numCache>
                <c:formatCode>General</c:formatCode>
                <c:ptCount val="6"/>
                <c:pt idx="0" formatCode="0.0">
                  <c:v>308.10000000000002</c:v>
                </c:pt>
                <c:pt idx="1">
                  <c:v>69.8</c:v>
                </c:pt>
                <c:pt idx="2" formatCode="0.0">
                  <c:v>152.69999999999999</c:v>
                </c:pt>
                <c:pt idx="3">
                  <c:v>24.9</c:v>
                </c:pt>
                <c:pt idx="4">
                  <c:v>11.2</c:v>
                </c:pt>
                <c:pt idx="5">
                  <c:v>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17-4510-9EB5-2E9310861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54218048"/>
        <c:axId val="254218432"/>
        <c:axId val="0"/>
      </c:bar3DChart>
      <c:catAx>
        <c:axId val="254218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rgbClr val="33CCCC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8080"/>
                </a:solidFill>
                <a:latin typeface="Times New Roman"/>
                <a:ea typeface="Times New Roman"/>
                <a:cs typeface="Times New Roman"/>
              </a:defRPr>
            </a:pPr>
            <a:endParaRPr lang="es-PE"/>
          </a:p>
        </c:txPr>
        <c:crossAx val="254218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218432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spPr>
          <a:ln w="12700">
            <a:solidFill>
              <a:srgbClr val="33CCCC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8080"/>
                </a:solidFill>
                <a:latin typeface="Times New Roman"/>
                <a:ea typeface="Times New Roman"/>
                <a:cs typeface="Times New Roman"/>
              </a:defRPr>
            </a:pPr>
            <a:endParaRPr lang="es-PE"/>
          </a:p>
        </c:txPr>
        <c:crossAx val="2542180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0">
      <a:gsLst>
        <a:gs pos="0">
          <a:srgbClr xmlns:mc="http://schemas.openxmlformats.org/markup-compatibility/2006" xmlns:a14="http://schemas.microsoft.com/office/drawing/2010/main" val="DCDCDC" mc:Ignorable="a14" a14:legacySpreadsheetColorIndex="65">
            <a:gamma/>
            <a:shade val="86275"/>
            <a:invGamma/>
          </a:srgbClr>
        </a:gs>
        <a:gs pos="100000">
          <a:srgbClr xmlns:mc="http://schemas.openxmlformats.org/markup-compatibility/2006" xmlns:a14="http://schemas.microsoft.com/office/drawing/2010/main" val="FFFFFF" mc:Ignorable="a14" a14:legacySpreadsheetColorIndex="65"/>
        </a:gs>
      </a:gsLst>
      <a:path path="rect">
        <a:fillToRect l="50000" t="50000" r="50000" b="50000"/>
      </a:path>
    </a:gradFill>
    <a:ln w="38100">
      <a:solidFill>
        <a:srgbClr val="33CCCC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8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PE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523875</xdr:colOff>
      <xdr:row>2</xdr:row>
      <xdr:rowOff>95249</xdr:rowOff>
    </xdr:from>
    <xdr:to>
      <xdr:col>16</xdr:col>
      <xdr:colOff>676275</xdr:colOff>
      <xdr:row>70</xdr:row>
      <xdr:rowOff>19050</xdr:rowOff>
    </xdr:to>
    <xdr:pic>
      <xdr:nvPicPr>
        <xdr:cNvPr id="2" name="grafico" hidden="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26" t="5966" r="6126" b="3883"/>
        <a:stretch/>
      </xdr:blipFill>
      <xdr:spPr>
        <a:xfrm>
          <a:off x="7019925" y="371474"/>
          <a:ext cx="6248400" cy="9067801"/>
        </a:xfrm>
        <a:prstGeom prst="rect">
          <a:avLst/>
        </a:prstGeom>
      </xdr:spPr>
    </xdr:pic>
    <xdr:clientData/>
  </xdr:twoCellAnchor>
  <xdr:twoCellAnchor editAs="oneCell">
    <xdr:from>
      <xdr:col>8</xdr:col>
      <xdr:colOff>1</xdr:colOff>
      <xdr:row>1</xdr:row>
      <xdr:rowOff>28575</xdr:rowOff>
    </xdr:from>
    <xdr:to>
      <xdr:col>9</xdr:col>
      <xdr:colOff>538768</xdr:colOff>
      <xdr:row>6</xdr:row>
      <xdr:rowOff>2400</xdr:rowOff>
    </xdr:to>
    <xdr:pic macro="[0]!Imagenes">
      <xdr:nvPicPr>
        <xdr:cNvPr id="3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1" y="142875"/>
          <a:ext cx="1300767" cy="612000"/>
        </a:xfrm>
        <a:prstGeom prst="rect">
          <a:avLst/>
        </a:prstGeom>
      </xdr:spPr>
    </xdr:pic>
    <xdr:clientData/>
  </xdr:twoCellAnchor>
  <xdr:twoCellAnchor editAs="oneCell">
    <xdr:from>
      <xdr:col>8</xdr:col>
      <xdr:colOff>7125</xdr:colOff>
      <xdr:row>1</xdr:row>
      <xdr:rowOff>26175</xdr:rowOff>
    </xdr:from>
    <xdr:to>
      <xdr:col>9</xdr:col>
      <xdr:colOff>543759</xdr:colOff>
      <xdr:row>6</xdr:row>
      <xdr:rowOff>0</xdr:rowOff>
    </xdr:to>
    <xdr:pic macro="[0]!Imagenes">
      <xdr:nvPicPr>
        <xdr:cNvPr id="4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3175" y="140475"/>
          <a:ext cx="1298634" cy="61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22</xdr:row>
      <xdr:rowOff>85725</xdr:rowOff>
    </xdr:from>
    <xdr:to>
      <xdr:col>5</xdr:col>
      <xdr:colOff>123825</xdr:colOff>
      <xdr:row>24</xdr:row>
      <xdr:rowOff>104775</xdr:rowOff>
    </xdr:to>
    <xdr:sp macro="[0]!GRAFICO_Autoforma1_AlHacerClic" textlink="">
      <xdr:nvSpPr>
        <xdr:cNvPr id="2049" name="AutoShape 1"/>
        <xdr:cNvSpPr>
          <a:spLocks noChangeArrowheads="1"/>
        </xdr:cNvSpPr>
      </xdr:nvSpPr>
      <xdr:spPr bwMode="auto">
        <a:xfrm>
          <a:off x="3257550" y="3228975"/>
          <a:ext cx="790575" cy="3048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38100">
          <a:solidFill>
            <a:srgbClr xmlns:mc="http://schemas.openxmlformats.org/markup-compatibility/2006" xmlns:a14="http://schemas.microsoft.com/office/drawing/2010/main" val="008080" mc:Ignorable="a14" a14:legacySpreadsheetColorIndex="21"/>
          </a:solidFill>
          <a:round/>
          <a:headEnd/>
          <a:tailEnd/>
        </a:ln>
        <a:effectLst>
          <a:prstShdw prst="shdw13" dist="63500" dir="3187806">
            <a:srgbClr val="808080"/>
          </a:prstShdw>
        </a:effectLst>
      </xdr:spPr>
      <xdr:txBody>
        <a:bodyPr vertOverflow="clip" wrap="square" lIns="36576" tIns="41148" rIns="36576" bIns="0" anchor="t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008080"/>
              </a:solidFill>
              <a:latin typeface="Comic Sans MS"/>
            </a:rPr>
            <a:t>VOLVER</a:t>
          </a:r>
        </a:p>
      </xdr:txBody>
    </xdr:sp>
    <xdr:clientData/>
  </xdr:twoCellAnchor>
  <xdr:twoCellAnchor>
    <xdr:from>
      <xdr:col>1</xdr:col>
      <xdr:colOff>266700</xdr:colOff>
      <xdr:row>1</xdr:row>
      <xdr:rowOff>38100</xdr:rowOff>
    </xdr:from>
    <xdr:to>
      <xdr:col>7</xdr:col>
      <xdr:colOff>561975</xdr:colOff>
      <xdr:row>19</xdr:row>
      <xdr:rowOff>95250</xdr:rowOff>
    </xdr:to>
    <xdr:graphicFrame macro="">
      <xdr:nvGraphicFramePr>
        <xdr:cNvPr id="2128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P65"/>
  <sheetViews>
    <sheetView showGridLines="0" tabSelected="1" zoomScaleNormal="100" workbookViewId="0">
      <selection activeCell="G62" sqref="G62"/>
    </sheetView>
  </sheetViews>
  <sheetFormatPr baseColWidth="10" defaultRowHeight="12.75" customHeight="1" x14ac:dyDescent="0.2"/>
  <cols>
    <col min="1" max="1" width="1.7109375" customWidth="1"/>
    <col min="2" max="2" width="18.7109375" customWidth="1"/>
    <col min="3" max="6" width="12.7109375" customWidth="1"/>
    <col min="7" max="7" width="14.7109375" customWidth="1"/>
    <col min="8" max="10" width="11.42578125" customWidth="1"/>
  </cols>
  <sheetData>
    <row r="1" spans="1:16" ht="9" customHeight="1" x14ac:dyDescent="0.25">
      <c r="A1" s="11"/>
      <c r="B1" s="10"/>
      <c r="C1" s="10"/>
      <c r="D1" s="10"/>
      <c r="E1" s="10"/>
      <c r="F1" s="10"/>
      <c r="G1" s="10"/>
    </row>
    <row r="2" spans="1:16" ht="12.75" customHeight="1" x14ac:dyDescent="0.25">
      <c r="A2" s="10"/>
      <c r="B2" s="26" t="s">
        <v>25</v>
      </c>
      <c r="C2" s="26"/>
      <c r="D2" s="26"/>
      <c r="E2" s="26"/>
      <c r="F2" s="26"/>
      <c r="G2" s="26"/>
    </row>
    <row r="3" spans="1:16" ht="10.5" customHeight="1" x14ac:dyDescent="0.25">
      <c r="A3" s="10"/>
      <c r="B3" s="23" t="s">
        <v>24</v>
      </c>
      <c r="C3" s="4"/>
      <c r="D3" s="4"/>
      <c r="E3" s="4"/>
      <c r="F3" s="4"/>
      <c r="G3" s="5"/>
    </row>
    <row r="4" spans="1:16" ht="3" customHeight="1" x14ac:dyDescent="0.25">
      <c r="A4" s="10"/>
      <c r="B4" s="5"/>
      <c r="C4" s="6"/>
      <c r="D4" s="6"/>
      <c r="E4" s="6"/>
      <c r="F4" s="6"/>
      <c r="G4" s="6"/>
    </row>
    <row r="5" spans="1:16" ht="12" customHeight="1" x14ac:dyDescent="0.25">
      <c r="A5" s="10"/>
      <c r="B5" s="33" t="s">
        <v>7</v>
      </c>
      <c r="C5" s="35" t="s">
        <v>13</v>
      </c>
      <c r="D5" s="36"/>
      <c r="E5" s="36"/>
      <c r="F5" s="36"/>
      <c r="G5" s="37" t="s">
        <v>12</v>
      </c>
    </row>
    <row r="6" spans="1:16" ht="12" customHeight="1" x14ac:dyDescent="0.25">
      <c r="A6" s="10"/>
      <c r="B6" s="34"/>
      <c r="C6" s="24" t="s">
        <v>8</v>
      </c>
      <c r="D6" s="25" t="s">
        <v>9</v>
      </c>
      <c r="E6" s="25" t="s">
        <v>10</v>
      </c>
      <c r="F6" s="25" t="s">
        <v>11</v>
      </c>
      <c r="G6" s="38"/>
      <c r="P6" s="32">
        <v>2</v>
      </c>
    </row>
    <row r="7" spans="1:16" ht="3" customHeight="1" x14ac:dyDescent="0.25">
      <c r="A7" s="10"/>
      <c r="B7" s="12"/>
      <c r="C7" s="7"/>
      <c r="D7" s="7"/>
      <c r="E7" s="7"/>
      <c r="F7" s="7"/>
      <c r="G7" s="7"/>
    </row>
    <row r="8" spans="1:16" ht="11.45" customHeight="1" x14ac:dyDescent="0.25">
      <c r="A8" s="10"/>
      <c r="B8" s="14">
        <v>2017</v>
      </c>
      <c r="C8" s="17">
        <f>SUM(C9:C17)</f>
        <v>1830754.0036599997</v>
      </c>
      <c r="D8" s="17">
        <f>SUM(D9:D17)</f>
        <v>471891.96227999998</v>
      </c>
      <c r="E8" s="17">
        <f>SUM(E9:E17)</f>
        <v>513943.58153000002</v>
      </c>
      <c r="F8" s="17">
        <f>SUM(F9:F17)</f>
        <v>844918.45984999998</v>
      </c>
      <c r="G8" s="17">
        <f>SUM(G9:G17)</f>
        <v>3145842.1526900004</v>
      </c>
    </row>
    <row r="9" spans="1:16" ht="10.5" customHeight="1" x14ac:dyDescent="0.25">
      <c r="A9" s="10"/>
      <c r="B9" s="15" t="s">
        <v>19</v>
      </c>
      <c r="C9" s="19">
        <f t="shared" ref="C9:C26" si="0">SUM(D9:F9)</f>
        <v>452888.75380000001</v>
      </c>
      <c r="D9" s="20">
        <v>180043.09153000001</v>
      </c>
      <c r="E9" s="20">
        <v>118362.16207000001</v>
      </c>
      <c r="F9" s="20">
        <v>154483.50020000001</v>
      </c>
      <c r="G9" s="27">
        <v>1165410.1319500001</v>
      </c>
    </row>
    <row r="10" spans="1:16" ht="10.5" customHeight="1" x14ac:dyDescent="0.25">
      <c r="A10" s="10"/>
      <c r="B10" s="15" t="s">
        <v>21</v>
      </c>
      <c r="C10" s="19">
        <f t="shared" si="0"/>
        <v>6964.6756000000005</v>
      </c>
      <c r="D10" s="21">
        <v>1627.24209</v>
      </c>
      <c r="E10" s="21">
        <v>2008.1714300000001</v>
      </c>
      <c r="F10" s="21">
        <v>3329.26208</v>
      </c>
      <c r="G10" s="27">
        <v>27805.586019999999</v>
      </c>
    </row>
    <row r="11" spans="1:16" ht="10.5" customHeight="1" x14ac:dyDescent="0.25">
      <c r="A11" s="10"/>
      <c r="B11" s="15" t="s">
        <v>18</v>
      </c>
      <c r="C11" s="19">
        <f t="shared" si="0"/>
        <v>9301.6808500000006</v>
      </c>
      <c r="D11" s="21">
        <v>2195.48857</v>
      </c>
      <c r="E11" s="21">
        <v>1362.06258</v>
      </c>
      <c r="F11" s="21">
        <v>5744.1297000000004</v>
      </c>
      <c r="G11" s="27">
        <v>33.09496</v>
      </c>
    </row>
    <row r="12" spans="1:16" ht="10.5" customHeight="1" x14ac:dyDescent="0.25">
      <c r="A12" s="10"/>
      <c r="B12" s="15" t="s">
        <v>23</v>
      </c>
      <c r="C12" s="19">
        <f>SUM(D12:F12)</f>
        <v>9.5499999999999995E-3</v>
      </c>
      <c r="D12" s="22" t="s">
        <v>6</v>
      </c>
      <c r="E12" s="22" t="s">
        <v>6</v>
      </c>
      <c r="F12" s="22">
        <v>9.5499999999999995E-3</v>
      </c>
      <c r="G12" s="27">
        <v>1309.02126</v>
      </c>
    </row>
    <row r="13" spans="1:16" ht="10.5" customHeight="1" x14ac:dyDescent="0.25">
      <c r="A13" s="10"/>
      <c r="B13" s="15" t="s">
        <v>14</v>
      </c>
      <c r="C13" s="19">
        <f t="shared" si="0"/>
        <v>902343.23849999998</v>
      </c>
      <c r="D13" s="20">
        <v>191212.20311</v>
      </c>
      <c r="E13" s="20">
        <v>267235.22574000002</v>
      </c>
      <c r="F13" s="20">
        <v>443895.80965000001</v>
      </c>
      <c r="G13" s="20">
        <v>1544184.5249600001</v>
      </c>
    </row>
    <row r="14" spans="1:16" ht="10.5" customHeight="1" x14ac:dyDescent="0.25">
      <c r="A14" s="10"/>
      <c r="B14" s="15" t="s">
        <v>20</v>
      </c>
      <c r="C14" s="19">
        <f t="shared" si="0"/>
        <v>7857.7300799999994</v>
      </c>
      <c r="D14" s="20">
        <v>1432.27421</v>
      </c>
      <c r="E14" s="20">
        <v>856.90940999999998</v>
      </c>
      <c r="F14" s="20">
        <v>5568.5464599999996</v>
      </c>
      <c r="G14" s="20">
        <v>18933.59115</v>
      </c>
    </row>
    <row r="15" spans="1:16" ht="10.5" customHeight="1" x14ac:dyDescent="0.25">
      <c r="A15" s="10"/>
      <c r="B15" s="15" t="s">
        <v>16</v>
      </c>
      <c r="C15" s="19">
        <f t="shared" si="0"/>
        <v>100847.64588</v>
      </c>
      <c r="D15" s="20">
        <v>30537.946660000001</v>
      </c>
      <c r="E15" s="20">
        <v>15102.47639</v>
      </c>
      <c r="F15" s="20">
        <v>55207.222829999999</v>
      </c>
      <c r="G15" s="20">
        <v>93333.599069999997</v>
      </c>
    </row>
    <row r="16" spans="1:16" ht="10.5" customHeight="1" x14ac:dyDescent="0.25">
      <c r="A16" s="10"/>
      <c r="B16" s="15" t="s">
        <v>15</v>
      </c>
      <c r="C16" s="19">
        <f t="shared" si="0"/>
        <v>120415.36272999999</v>
      </c>
      <c r="D16" s="21">
        <v>27911.746449999999</v>
      </c>
      <c r="E16" s="20">
        <v>32826.980349999998</v>
      </c>
      <c r="F16" s="20">
        <v>59676.635929999997</v>
      </c>
      <c r="G16" s="20">
        <v>32850.545209999997</v>
      </c>
    </row>
    <row r="17" spans="1:7" ht="10.5" customHeight="1" x14ac:dyDescent="0.25">
      <c r="A17" s="10"/>
      <c r="B17" s="15" t="s">
        <v>17</v>
      </c>
      <c r="C17" s="19">
        <f t="shared" si="0"/>
        <v>230134.90667</v>
      </c>
      <c r="D17" s="20">
        <v>36931.969660000002</v>
      </c>
      <c r="E17" s="20">
        <v>76189.593559999994</v>
      </c>
      <c r="F17" s="20">
        <v>117013.34345</v>
      </c>
      <c r="G17" s="20">
        <v>261982.05811000001</v>
      </c>
    </row>
    <row r="18" spans="1:7" ht="11.45" customHeight="1" x14ac:dyDescent="0.25">
      <c r="A18" s="10"/>
      <c r="B18" s="14">
        <v>2018</v>
      </c>
      <c r="C18" s="16">
        <f t="shared" si="0"/>
        <v>2016823.55406</v>
      </c>
      <c r="D18" s="17">
        <f>SUM(D19:D26)</f>
        <v>456064.08269000001</v>
      </c>
      <c r="E18" s="17">
        <f>SUM(E19:E26)</f>
        <v>1015147.06594</v>
      </c>
      <c r="F18" s="17">
        <f>SUM(F19:F26)</f>
        <v>545612.40543000004</v>
      </c>
      <c r="G18" s="17">
        <f>SUM(G19:G26)</f>
        <v>3414999.4085499998</v>
      </c>
    </row>
    <row r="19" spans="1:7" ht="10.5" customHeight="1" x14ac:dyDescent="0.25">
      <c r="A19" s="10"/>
      <c r="B19" s="15" t="s">
        <v>19</v>
      </c>
      <c r="C19" s="19">
        <f t="shared" si="0"/>
        <v>466884.08684999996</v>
      </c>
      <c r="D19" s="20">
        <v>175004.16339999999</v>
      </c>
      <c r="E19" s="20">
        <v>178170.72519999999</v>
      </c>
      <c r="F19" s="20">
        <v>113709.19825</v>
      </c>
      <c r="G19" s="20">
        <v>1247065.5359499999</v>
      </c>
    </row>
    <row r="20" spans="1:7" ht="10.5" customHeight="1" x14ac:dyDescent="0.25">
      <c r="A20" s="10"/>
      <c r="B20" s="15" t="s">
        <v>21</v>
      </c>
      <c r="C20" s="19">
        <f t="shared" si="0"/>
        <v>11563.16778</v>
      </c>
      <c r="D20" s="21">
        <v>2299.7544400000002</v>
      </c>
      <c r="E20" s="21">
        <v>5913.1241099999997</v>
      </c>
      <c r="F20" s="21">
        <v>3350.2892299999999</v>
      </c>
      <c r="G20" s="21">
        <v>30189.698700000001</v>
      </c>
    </row>
    <row r="21" spans="1:7" ht="10.5" customHeight="1" x14ac:dyDescent="0.25">
      <c r="A21" s="10"/>
      <c r="B21" s="15" t="s">
        <v>18</v>
      </c>
      <c r="C21" s="19">
        <f t="shared" si="0"/>
        <v>2.5979100000000002</v>
      </c>
      <c r="D21" s="22" t="s">
        <v>6</v>
      </c>
      <c r="E21" s="21">
        <v>2.5979100000000002</v>
      </c>
      <c r="F21" s="22" t="s">
        <v>6</v>
      </c>
      <c r="G21" s="21">
        <v>2.2720000000000001E-2</v>
      </c>
    </row>
    <row r="22" spans="1:7" ht="10.5" customHeight="1" x14ac:dyDescent="0.25">
      <c r="A22" s="10"/>
      <c r="B22" s="15" t="s">
        <v>14</v>
      </c>
      <c r="C22" s="19">
        <f t="shared" si="0"/>
        <v>980265.51166000008</v>
      </c>
      <c r="D22" s="20">
        <v>188286.88998000001</v>
      </c>
      <c r="E22" s="20">
        <v>496004.00787999999</v>
      </c>
      <c r="F22" s="20">
        <v>295974.61379999999</v>
      </c>
      <c r="G22" s="20">
        <v>1687352.5619399999</v>
      </c>
    </row>
    <row r="23" spans="1:7" ht="10.5" customHeight="1" x14ac:dyDescent="0.25">
      <c r="A23" s="10"/>
      <c r="B23" s="15" t="s">
        <v>20</v>
      </c>
      <c r="C23" s="19">
        <f t="shared" si="0"/>
        <v>9684.9567700000007</v>
      </c>
      <c r="D23" s="20">
        <v>1936.7814900000001</v>
      </c>
      <c r="E23" s="20">
        <v>7055.19625</v>
      </c>
      <c r="F23" s="20">
        <v>692.97902999999997</v>
      </c>
      <c r="G23" s="20">
        <v>19457.225460000001</v>
      </c>
    </row>
    <row r="24" spans="1:7" ht="10.5" customHeight="1" x14ac:dyDescent="0.25">
      <c r="A24" s="10"/>
      <c r="B24" s="15" t="s">
        <v>16</v>
      </c>
      <c r="C24" s="19">
        <f t="shared" si="0"/>
        <v>112754.54446</v>
      </c>
      <c r="D24" s="20">
        <v>33426.95433</v>
      </c>
      <c r="E24" s="20">
        <v>63507.706039999997</v>
      </c>
      <c r="F24" s="20">
        <v>15819.88409</v>
      </c>
      <c r="G24" s="20">
        <v>111911.74271000001</v>
      </c>
    </row>
    <row r="25" spans="1:7" ht="10.5" customHeight="1" x14ac:dyDescent="0.25">
      <c r="A25" s="10"/>
      <c r="B25" s="15" t="s">
        <v>15</v>
      </c>
      <c r="C25" s="19">
        <f t="shared" si="0"/>
        <v>183107.58547000002</v>
      </c>
      <c r="D25" s="21">
        <v>22863.330450000001</v>
      </c>
      <c r="E25" s="20">
        <v>126257.48225</v>
      </c>
      <c r="F25" s="20">
        <v>33986.772770000003</v>
      </c>
      <c r="G25" s="20">
        <v>37101.722349999996</v>
      </c>
    </row>
    <row r="26" spans="1:7" ht="10.5" customHeight="1" x14ac:dyDescent="0.25">
      <c r="A26" s="10"/>
      <c r="B26" s="15" t="s">
        <v>17</v>
      </c>
      <c r="C26" s="19">
        <f t="shared" si="0"/>
        <v>252561.10316000003</v>
      </c>
      <c r="D26" s="20">
        <v>32246.208600000002</v>
      </c>
      <c r="E26" s="20">
        <v>138236.22630000001</v>
      </c>
      <c r="F26" s="20">
        <v>82078.668260000006</v>
      </c>
      <c r="G26" s="20">
        <v>281920.89872</v>
      </c>
    </row>
    <row r="27" spans="1:7" ht="11.45" customHeight="1" x14ac:dyDescent="0.25">
      <c r="A27" s="10"/>
      <c r="B27" s="18">
        <v>2019</v>
      </c>
      <c r="C27" s="17">
        <f>SUM(C28:C35)</f>
        <v>2253190.7495399998</v>
      </c>
      <c r="D27" s="28">
        <f>SUM(D28:D35)</f>
        <v>489614.65723000001</v>
      </c>
      <c r="E27" s="17">
        <f>SUM(E28:E35)</f>
        <v>648590.96996999998</v>
      </c>
      <c r="F27" s="17">
        <f>SUM(F28:F35)</f>
        <v>1114985.12234</v>
      </c>
      <c r="G27" s="17">
        <f>SUM(G28:G35)</f>
        <v>3526525.0309200003</v>
      </c>
    </row>
    <row r="28" spans="1:7" ht="10.5" customHeight="1" x14ac:dyDescent="0.25">
      <c r="A28" s="10"/>
      <c r="B28" s="15" t="s">
        <v>19</v>
      </c>
      <c r="C28" s="19">
        <f t="shared" ref="C28:C29" si="1">SUM(D28:F28)</f>
        <v>516450.59725999995</v>
      </c>
      <c r="D28" s="27">
        <v>173177.46163999999</v>
      </c>
      <c r="E28" s="27">
        <v>148401.45480000001</v>
      </c>
      <c r="F28" s="27">
        <v>194871.68081999998</v>
      </c>
      <c r="G28" s="27">
        <v>1245351.31883</v>
      </c>
    </row>
    <row r="29" spans="1:7" ht="10.5" customHeight="1" x14ac:dyDescent="0.25">
      <c r="A29" s="10"/>
      <c r="B29" s="15" t="s">
        <v>21</v>
      </c>
      <c r="C29" s="19">
        <f t="shared" si="1"/>
        <v>14960.113880000001</v>
      </c>
      <c r="D29" s="27">
        <v>4592.3950299999997</v>
      </c>
      <c r="E29" s="27">
        <v>3432.6821300000001</v>
      </c>
      <c r="F29" s="27">
        <v>6935.0367200000001</v>
      </c>
      <c r="G29" s="27">
        <v>28855.29984</v>
      </c>
    </row>
    <row r="30" spans="1:7" ht="10.5" customHeight="1" x14ac:dyDescent="0.25">
      <c r="A30" s="10"/>
      <c r="B30" s="15" t="s">
        <v>18</v>
      </c>
      <c r="C30" s="22" t="s">
        <v>6</v>
      </c>
      <c r="D30" s="27" t="s">
        <v>6</v>
      </c>
      <c r="E30" s="27" t="s">
        <v>6</v>
      </c>
      <c r="F30" s="27" t="s">
        <v>6</v>
      </c>
      <c r="G30" s="29" t="s">
        <v>6</v>
      </c>
    </row>
    <row r="31" spans="1:7" ht="10.5" customHeight="1" x14ac:dyDescent="0.25">
      <c r="A31" s="10"/>
      <c r="B31" s="15" t="s">
        <v>14</v>
      </c>
      <c r="C31" s="19">
        <f t="shared" ref="C31" si="2">SUM(D31:F31)</f>
        <v>1101834.3770999999</v>
      </c>
      <c r="D31" s="27">
        <v>195799.31920999999</v>
      </c>
      <c r="E31" s="27">
        <v>353387.86421999999</v>
      </c>
      <c r="F31" s="27">
        <v>552647.19366999995</v>
      </c>
      <c r="G31" s="27">
        <v>1748594.9617099999</v>
      </c>
    </row>
    <row r="32" spans="1:7" ht="10.5" customHeight="1" x14ac:dyDescent="0.25">
      <c r="A32" s="10"/>
      <c r="B32" s="15" t="s">
        <v>20</v>
      </c>
      <c r="C32" s="19">
        <f>SUM(D32:F32)</f>
        <v>11597.010259999999</v>
      </c>
      <c r="D32" s="27">
        <v>1511.80196</v>
      </c>
      <c r="E32" s="27">
        <v>541.22685000000001</v>
      </c>
      <c r="F32" s="27">
        <v>9543.9814499999993</v>
      </c>
      <c r="G32" s="27">
        <v>21573.776440000001</v>
      </c>
    </row>
    <row r="33" spans="1:7" ht="10.5" customHeight="1" x14ac:dyDescent="0.25">
      <c r="A33" s="10"/>
      <c r="B33" s="15" t="s">
        <v>16</v>
      </c>
      <c r="C33" s="19">
        <f>SUM(D33:F33)</f>
        <v>148049.87897000002</v>
      </c>
      <c r="D33" s="27">
        <v>49202.390639999998</v>
      </c>
      <c r="E33" s="27">
        <v>17958.683130000001</v>
      </c>
      <c r="F33" s="27">
        <v>80888.805200000003</v>
      </c>
      <c r="G33" s="27">
        <v>127182.33401999999</v>
      </c>
    </row>
    <row r="34" spans="1:7" ht="10.5" customHeight="1" x14ac:dyDescent="0.25">
      <c r="A34" s="10"/>
      <c r="B34" s="15" t="s">
        <v>15</v>
      </c>
      <c r="C34" s="19">
        <f>SUM(D34:F34)</f>
        <v>171211.90864000001</v>
      </c>
      <c r="D34" s="27">
        <v>31737.18878</v>
      </c>
      <c r="E34" s="27">
        <v>35392.136279999999</v>
      </c>
      <c r="F34" s="27">
        <v>104082.58358000001</v>
      </c>
      <c r="G34" s="27">
        <v>43472.91373</v>
      </c>
    </row>
    <row r="35" spans="1:7" ht="10.5" customHeight="1" x14ac:dyDescent="0.25">
      <c r="A35" s="10"/>
      <c r="B35" s="15" t="s">
        <v>17</v>
      </c>
      <c r="C35" s="19">
        <f t="shared" ref="C35" si="3">SUM(D35:F35)</f>
        <v>289086.86343000003</v>
      </c>
      <c r="D35" s="27">
        <v>33594.099970000003</v>
      </c>
      <c r="E35" s="27">
        <v>89476.922560000006</v>
      </c>
      <c r="F35" s="27">
        <v>166015.84090000001</v>
      </c>
      <c r="G35" s="27">
        <v>311494.42635000002</v>
      </c>
    </row>
    <row r="36" spans="1:7" ht="11.45" customHeight="1" x14ac:dyDescent="0.25">
      <c r="A36" s="10"/>
      <c r="B36" s="14">
        <v>2020</v>
      </c>
      <c r="C36" s="17">
        <f>SUM(C37:C44)</f>
        <v>3309236.8141899994</v>
      </c>
      <c r="D36" s="28">
        <f>SUM(D37:D44)</f>
        <v>935461.74875999999</v>
      </c>
      <c r="E36" s="17">
        <f>SUM(E37:E44)</f>
        <v>593247.94829999993</v>
      </c>
      <c r="F36" s="17">
        <f>SUM(F37:F44)</f>
        <v>1780527.1171300001</v>
      </c>
      <c r="G36" s="17">
        <f>SUM(G37:G44)</f>
        <v>4369600.4952100003</v>
      </c>
    </row>
    <row r="37" spans="1:7" ht="10.5" customHeight="1" x14ac:dyDescent="0.25">
      <c r="A37" s="10"/>
      <c r="B37" s="15" t="s">
        <v>19</v>
      </c>
      <c r="C37" s="19">
        <f t="shared" ref="C37:C38" si="4">SUM(D37:F37)</f>
        <v>729956.75231999997</v>
      </c>
      <c r="D37" s="27">
        <v>313496.37073999998</v>
      </c>
      <c r="E37" s="27">
        <v>117830.1646</v>
      </c>
      <c r="F37" s="27">
        <v>298630.21698000003</v>
      </c>
      <c r="G37" s="27">
        <v>1565278.6203600001</v>
      </c>
    </row>
    <row r="38" spans="1:7" ht="10.5" customHeight="1" x14ac:dyDescent="0.25">
      <c r="A38" s="10"/>
      <c r="B38" s="15" t="s">
        <v>21</v>
      </c>
      <c r="C38" s="19">
        <f t="shared" si="4"/>
        <v>26321.846989999998</v>
      </c>
      <c r="D38" s="27">
        <v>9449.0730100000001</v>
      </c>
      <c r="E38" s="27">
        <v>3877.1810300000002</v>
      </c>
      <c r="F38" s="27">
        <v>12995.59295</v>
      </c>
      <c r="G38" s="27">
        <v>36223.538310000004</v>
      </c>
    </row>
    <row r="39" spans="1:7" ht="10.5" customHeight="1" x14ac:dyDescent="0.25">
      <c r="A39" s="10"/>
      <c r="B39" s="15" t="s">
        <v>18</v>
      </c>
      <c r="C39" s="22" t="s">
        <v>6</v>
      </c>
      <c r="D39" s="27" t="s">
        <v>6</v>
      </c>
      <c r="E39" s="27" t="s">
        <v>6</v>
      </c>
      <c r="F39" s="27" t="s">
        <v>6</v>
      </c>
      <c r="G39" s="29" t="s">
        <v>6</v>
      </c>
    </row>
    <row r="40" spans="1:7" ht="10.5" customHeight="1" x14ac:dyDescent="0.25">
      <c r="A40" s="10"/>
      <c r="B40" s="15" t="s">
        <v>14</v>
      </c>
      <c r="C40" s="19">
        <f t="shared" ref="C40:C44" si="5">SUM(D40:F40)</f>
        <v>1565829.5117299999</v>
      </c>
      <c r="D40" s="27">
        <v>384786.25871999998</v>
      </c>
      <c r="E40" s="27">
        <v>336305.59522999998</v>
      </c>
      <c r="F40" s="27">
        <v>844737.65778000001</v>
      </c>
      <c r="G40" s="27">
        <v>2257801.8633300001</v>
      </c>
    </row>
    <row r="41" spans="1:7" ht="10.5" customHeight="1" x14ac:dyDescent="0.25">
      <c r="A41" s="10"/>
      <c r="B41" s="15" t="s">
        <v>20</v>
      </c>
      <c r="C41" s="19">
        <f t="shared" si="5"/>
        <v>17616.227350000001</v>
      </c>
      <c r="D41" s="27">
        <v>4153.3784599999999</v>
      </c>
      <c r="E41" s="27">
        <v>355.22107999999997</v>
      </c>
      <c r="F41" s="27">
        <v>13107.62781</v>
      </c>
      <c r="G41" s="27">
        <v>27803.180980000001</v>
      </c>
    </row>
    <row r="42" spans="1:7" ht="10.5" customHeight="1" x14ac:dyDescent="0.25">
      <c r="A42" s="10"/>
      <c r="B42" s="15" t="s">
        <v>16</v>
      </c>
      <c r="C42" s="19">
        <f t="shared" si="5"/>
        <v>230437.37041</v>
      </c>
      <c r="D42" s="27">
        <v>99253.829599999997</v>
      </c>
      <c r="E42" s="27">
        <v>13987.696190000001</v>
      </c>
      <c r="F42" s="27">
        <v>117195.84462</v>
      </c>
      <c r="G42" s="27">
        <v>122561.24652</v>
      </c>
    </row>
    <row r="43" spans="1:7" ht="10.5" customHeight="1" x14ac:dyDescent="0.25">
      <c r="A43" s="10"/>
      <c r="B43" s="15" t="s">
        <v>15</v>
      </c>
      <c r="C43" s="19">
        <f t="shared" si="5"/>
        <v>339574.34496000002</v>
      </c>
      <c r="D43" s="27">
        <v>55501.083740000002</v>
      </c>
      <c r="E43" s="27">
        <v>39817.822910000003</v>
      </c>
      <c r="F43" s="27">
        <v>244255.43831</v>
      </c>
      <c r="G43" s="27">
        <v>39397.165419999998</v>
      </c>
    </row>
    <row r="44" spans="1:7" ht="10.5" customHeight="1" x14ac:dyDescent="0.25">
      <c r="A44" s="10"/>
      <c r="B44" s="15" t="s">
        <v>17</v>
      </c>
      <c r="C44" s="19">
        <f t="shared" si="5"/>
        <v>399500.76043000002</v>
      </c>
      <c r="D44" s="27">
        <v>68821.754490000007</v>
      </c>
      <c r="E44" s="27">
        <v>81074.267259999993</v>
      </c>
      <c r="F44" s="27">
        <v>249604.73868000001</v>
      </c>
      <c r="G44" s="27">
        <v>320534.88029</v>
      </c>
    </row>
    <row r="45" spans="1:7" ht="11.45" customHeight="1" x14ac:dyDescent="0.25">
      <c r="A45" s="10"/>
      <c r="B45" s="14">
        <v>2021</v>
      </c>
      <c r="C45" s="17">
        <f>SUM(C46:C52)</f>
        <v>3476549.7373899994</v>
      </c>
      <c r="D45" s="28">
        <f>SUM(D46:D52)</f>
        <v>889280.73138000013</v>
      </c>
      <c r="E45" s="17">
        <f>SUM(E46:E52)</f>
        <v>370573.52826000005</v>
      </c>
      <c r="F45" s="17">
        <f>SUM(F46:F52)</f>
        <v>2216695.4777500001</v>
      </c>
      <c r="G45" s="17">
        <f>SUM(G46:G52)</f>
        <v>4452282.3365399996</v>
      </c>
    </row>
    <row r="46" spans="1:7" ht="10.5" customHeight="1" x14ac:dyDescent="0.25">
      <c r="A46" s="10"/>
      <c r="B46" s="15" t="s">
        <v>19</v>
      </c>
      <c r="C46" s="19">
        <f t="shared" ref="C46:C51" si="6">SUM(D46:F46)</f>
        <v>726919.87368000019</v>
      </c>
      <c r="D46" s="30">
        <v>295133.76181000005</v>
      </c>
      <c r="E46" s="30">
        <v>71527.712039999999</v>
      </c>
      <c r="F46" s="30">
        <v>360258.39983000013</v>
      </c>
      <c r="G46" s="30">
        <v>1684826.3758200004</v>
      </c>
    </row>
    <row r="47" spans="1:7" ht="10.5" customHeight="1" x14ac:dyDescent="0.25">
      <c r="A47" s="10"/>
      <c r="B47" s="15" t="s">
        <v>21</v>
      </c>
      <c r="C47" s="27" t="s">
        <v>6</v>
      </c>
      <c r="D47" s="27" t="s">
        <v>6</v>
      </c>
      <c r="E47" s="27" t="s">
        <v>6</v>
      </c>
      <c r="F47" s="27" t="s">
        <v>6</v>
      </c>
      <c r="G47" s="27" t="s">
        <v>6</v>
      </c>
    </row>
    <row r="48" spans="1:7" ht="10.5" customHeight="1" x14ac:dyDescent="0.25">
      <c r="A48" s="10"/>
      <c r="B48" s="15" t="s">
        <v>14</v>
      </c>
      <c r="C48" s="19">
        <f t="shared" si="6"/>
        <v>1699285.4869299997</v>
      </c>
      <c r="D48" s="30">
        <v>364470.51957000006</v>
      </c>
      <c r="E48" s="30">
        <v>197620.39404999997</v>
      </c>
      <c r="F48" s="30">
        <v>1137194.5733099997</v>
      </c>
      <c r="G48" s="30">
        <v>2275263.5380099998</v>
      </c>
    </row>
    <row r="49" spans="1:7" ht="10.5" customHeight="1" x14ac:dyDescent="0.25">
      <c r="A49" s="10"/>
      <c r="B49" s="15" t="s">
        <v>20</v>
      </c>
      <c r="C49" s="19">
        <f t="shared" si="6"/>
        <v>2833.8904500000003</v>
      </c>
      <c r="D49" s="30">
        <v>7.2300000000000003E-3</v>
      </c>
      <c r="E49" s="30">
        <v>275.70499999999998</v>
      </c>
      <c r="F49" s="30">
        <v>2558.1782200000002</v>
      </c>
      <c r="G49" s="30">
        <v>31142.72034</v>
      </c>
    </row>
    <row r="50" spans="1:7" ht="10.5" customHeight="1" x14ac:dyDescent="0.25">
      <c r="A50" s="10"/>
      <c r="B50" s="15" t="s">
        <v>16</v>
      </c>
      <c r="C50" s="19">
        <f t="shared" si="6"/>
        <v>254833.95249</v>
      </c>
      <c r="D50" s="30">
        <v>97827.897070000006</v>
      </c>
      <c r="E50" s="30">
        <v>10429.653410000001</v>
      </c>
      <c r="F50" s="30">
        <v>146576.40200999999</v>
      </c>
      <c r="G50" s="30">
        <v>110343.72313000001</v>
      </c>
    </row>
    <row r="51" spans="1:7" ht="10.5" customHeight="1" x14ac:dyDescent="0.25">
      <c r="A51" s="10"/>
      <c r="B51" s="15" t="s">
        <v>15</v>
      </c>
      <c r="C51" s="19">
        <f t="shared" si="6"/>
        <v>348345.40678000002</v>
      </c>
      <c r="D51" s="30">
        <v>51915.303429999993</v>
      </c>
      <c r="E51" s="30">
        <v>28252.08425</v>
      </c>
      <c r="F51" s="30">
        <v>268178.01910000003</v>
      </c>
      <c r="G51" s="30">
        <v>35845.841400000005</v>
      </c>
    </row>
    <row r="52" spans="1:7" ht="10.5" customHeight="1" x14ac:dyDescent="0.25">
      <c r="A52" s="10"/>
      <c r="B52" s="15" t="s">
        <v>17</v>
      </c>
      <c r="C52" s="19">
        <f t="shared" ref="C52:C59" si="7">SUM(D52:F52)</f>
        <v>444331.12705999997</v>
      </c>
      <c r="D52" s="30">
        <v>79933.242270000017</v>
      </c>
      <c r="E52" s="30">
        <v>62467.979510000005</v>
      </c>
      <c r="F52" s="30">
        <v>301929.90527999995</v>
      </c>
      <c r="G52" s="30">
        <v>314860.13783999998</v>
      </c>
    </row>
    <row r="53" spans="1:7" ht="11.45" customHeight="1" x14ac:dyDescent="0.25">
      <c r="A53" s="10"/>
      <c r="B53" s="14" t="s">
        <v>26</v>
      </c>
      <c r="C53" s="16">
        <f t="shared" si="7"/>
        <v>3494690.6733400002</v>
      </c>
      <c r="D53" s="28">
        <f>SUM(D54:D59)</f>
        <v>915856.54029000027</v>
      </c>
      <c r="E53" s="28">
        <f t="shared" ref="E53:F53" si="8">SUM(E54:E59)</f>
        <v>485283.56312000006</v>
      </c>
      <c r="F53" s="28">
        <f t="shared" si="8"/>
        <v>2093550.5699299998</v>
      </c>
      <c r="G53" s="17">
        <f>SUM(G54:G59)</f>
        <v>4440079.2265999997</v>
      </c>
    </row>
    <row r="54" spans="1:7" ht="10.5" customHeight="1" x14ac:dyDescent="0.25">
      <c r="A54" s="10"/>
      <c r="B54" s="15" t="s">
        <v>19</v>
      </c>
      <c r="C54" s="19">
        <f t="shared" si="7"/>
        <v>699517.15026000014</v>
      </c>
      <c r="D54" s="30">
        <v>270750.8037300001</v>
      </c>
      <c r="E54" s="30">
        <v>97025.638580000028</v>
      </c>
      <c r="F54" s="30">
        <v>331740.70795000001</v>
      </c>
      <c r="G54" s="30">
        <v>1722417.4265299998</v>
      </c>
    </row>
    <row r="55" spans="1:7" ht="10.5" customHeight="1" x14ac:dyDescent="0.25">
      <c r="A55" s="10"/>
      <c r="B55" s="15" t="s">
        <v>14</v>
      </c>
      <c r="C55" s="19">
        <f t="shared" si="7"/>
        <v>1672649.05232</v>
      </c>
      <c r="D55" s="30">
        <v>409000.55561000016</v>
      </c>
      <c r="E55" s="30">
        <v>258980.73251</v>
      </c>
      <c r="F55" s="30">
        <v>1004667.7641999999</v>
      </c>
      <c r="G55" s="30">
        <v>2196375.2765799998</v>
      </c>
    </row>
    <row r="56" spans="1:7" ht="10.5" customHeight="1" x14ac:dyDescent="0.25">
      <c r="A56" s="10"/>
      <c r="B56" s="15" t="s">
        <v>20</v>
      </c>
      <c r="C56" s="19">
        <f t="shared" si="7"/>
        <v>2542.3421800000001</v>
      </c>
      <c r="D56" s="30">
        <v>7.2300000000000003E-3</v>
      </c>
      <c r="E56" s="30">
        <v>597.88433999999995</v>
      </c>
      <c r="F56" s="30">
        <v>1944.4506100000001</v>
      </c>
      <c r="G56" s="30">
        <v>34580.291840000005</v>
      </c>
    </row>
    <row r="57" spans="1:7" ht="10.5" customHeight="1" x14ac:dyDescent="0.25">
      <c r="A57" s="10"/>
      <c r="B57" s="15" t="s">
        <v>16</v>
      </c>
      <c r="C57" s="19">
        <f t="shared" si="7"/>
        <v>264737.16239000001</v>
      </c>
      <c r="D57" s="30">
        <v>106616.49233000001</v>
      </c>
      <c r="E57" s="30">
        <v>15064.507750000001</v>
      </c>
      <c r="F57" s="30">
        <v>143056.16231000001</v>
      </c>
      <c r="G57" s="30">
        <v>112731.65621000002</v>
      </c>
    </row>
    <row r="58" spans="1:7" ht="10.5" customHeight="1" x14ac:dyDescent="0.25">
      <c r="A58" s="10"/>
      <c r="B58" s="15" t="s">
        <v>15</v>
      </c>
      <c r="C58" s="19">
        <f t="shared" si="7"/>
        <v>399295.84242999996</v>
      </c>
      <c r="D58" s="30">
        <v>43905.94328</v>
      </c>
      <c r="E58" s="30">
        <v>37521.558560000005</v>
      </c>
      <c r="F58" s="30">
        <v>317868.34058999998</v>
      </c>
      <c r="G58" s="30">
        <v>40614.566150000006</v>
      </c>
    </row>
    <row r="59" spans="1:7" ht="10.5" customHeight="1" x14ac:dyDescent="0.25">
      <c r="A59" s="10"/>
      <c r="B59" s="15" t="s">
        <v>17</v>
      </c>
      <c r="C59" s="19">
        <f t="shared" si="7"/>
        <v>455949.12375999999</v>
      </c>
      <c r="D59" s="30">
        <v>85582.73811000002</v>
      </c>
      <c r="E59" s="30">
        <v>76093.241379999992</v>
      </c>
      <c r="F59" s="30">
        <v>294273.14426999999</v>
      </c>
      <c r="G59" s="30">
        <v>333360.00929000002</v>
      </c>
    </row>
    <row r="60" spans="1:7" ht="3" customHeight="1" x14ac:dyDescent="0.25">
      <c r="A60" s="10"/>
      <c r="B60" s="13"/>
      <c r="C60" s="8"/>
      <c r="D60" s="8"/>
      <c r="E60" s="8"/>
      <c r="F60" s="8"/>
      <c r="G60" s="8"/>
    </row>
    <row r="61" spans="1:7" ht="11.25" customHeight="1" x14ac:dyDescent="0.25">
      <c r="A61" s="10"/>
      <c r="B61" s="9" t="s">
        <v>22</v>
      </c>
      <c r="C61" s="5"/>
      <c r="D61" s="5"/>
      <c r="E61" s="5"/>
      <c r="F61" s="5"/>
      <c r="G61" s="5"/>
    </row>
    <row r="65" spans="5:5" ht="12.75" customHeight="1" x14ac:dyDescent="0.2">
      <c r="E65" s="31"/>
    </row>
  </sheetData>
  <mergeCells count="3">
    <mergeCell ref="B5:B6"/>
    <mergeCell ref="C5:F5"/>
    <mergeCell ref="G5:G6"/>
  </mergeCells>
  <phoneticPr fontId="0" type="noConversion"/>
  <printOptions horizontalCentered="1"/>
  <pageMargins left="0.59055118110236227" right="0.78740157480314965" top="0.78740157480314965" bottom="0.59055118110236227" header="0" footer="0"/>
  <pageSetup paperSize="9" orientation="portrait" r:id="rId1"/>
  <headerFooter alignWithMargins="0"/>
  <ignoredErrors>
    <ignoredError sqref="C60 C46 C48:C52 C9:C11 C28:C35 C37:C44 C54:C59 C13:C26" formulaRange="1"/>
    <ignoredError sqref="C45 C8 C27 C36" formula="1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autoPageBreaks="0"/>
  </sheetPr>
  <dimension ref="K2:L7"/>
  <sheetViews>
    <sheetView showGridLines="0" zoomScaleNormal="100" workbookViewId="0">
      <pane xSplit="10" ySplit="31" topLeftCell="K32" activePane="bottomRight" state="frozen"/>
      <selection pane="topRight" activeCell="K1" sqref="K1"/>
      <selection pane="bottomLeft" activeCell="A32" sqref="A32"/>
      <selection pane="bottomRight" activeCell="K32" sqref="K32"/>
    </sheetView>
  </sheetViews>
  <sheetFormatPr baseColWidth="10" defaultRowHeight="11.25" x14ac:dyDescent="0.2"/>
  <cols>
    <col min="1" max="1" width="12.7109375" style="1" customWidth="1"/>
    <col min="2" max="4" width="11.42578125" style="1"/>
    <col min="5" max="5" width="11.85546875" style="1" customWidth="1"/>
    <col min="6" max="8" width="11.42578125" style="1"/>
    <col min="9" max="9" width="12.7109375" style="1" customWidth="1"/>
    <col min="10" max="16384" width="11.42578125" style="1"/>
  </cols>
  <sheetData>
    <row r="2" spans="11:12" x14ac:dyDescent="0.2">
      <c r="K2" s="2" t="s">
        <v>0</v>
      </c>
      <c r="L2" s="3">
        <v>308.10000000000002</v>
      </c>
    </row>
    <row r="3" spans="11:12" x14ac:dyDescent="0.2">
      <c r="K3" s="2" t="s">
        <v>2</v>
      </c>
      <c r="L3" s="2">
        <v>69.8</v>
      </c>
    </row>
    <row r="4" spans="11:12" x14ac:dyDescent="0.2">
      <c r="K4" s="2" t="s">
        <v>3</v>
      </c>
      <c r="L4" s="3">
        <v>152.69999999999999</v>
      </c>
    </row>
    <row r="5" spans="11:12" x14ac:dyDescent="0.2">
      <c r="K5" s="2" t="s">
        <v>4</v>
      </c>
      <c r="L5" s="2">
        <v>24.9</v>
      </c>
    </row>
    <row r="6" spans="11:12" x14ac:dyDescent="0.2">
      <c r="K6" s="2" t="s">
        <v>1</v>
      </c>
      <c r="L6" s="2">
        <v>11.2</v>
      </c>
    </row>
    <row r="7" spans="11:12" x14ac:dyDescent="0.2">
      <c r="K7" s="2" t="s">
        <v>5</v>
      </c>
      <c r="L7" s="2">
        <v>49.5</v>
      </c>
    </row>
  </sheetData>
  <sheetProtection password="CA9D" sheet="1" objects="1" scenarios="1"/>
  <phoneticPr fontId="0" type="noConversion"/>
  <pageMargins left="0.75" right="0.75" top="0.19685039370078741" bottom="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  23,3  </vt:lpstr>
      <vt:lpstr>GRAFICO</vt:lpstr>
      <vt:lpstr>'  23,3  '!Área_de_impresión</vt:lpstr>
      <vt:lpstr>GRAFICO!Área_de_impresión</vt:lpstr>
    </vt:vector>
  </TitlesOfParts>
  <Company>INEI-ICA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2014-09-23T15:59:32Z</cp:lastPrinted>
  <dcterms:created xsi:type="dcterms:W3CDTF">2004-10-28T17:53:25Z</dcterms:created>
  <dcterms:modified xsi:type="dcterms:W3CDTF">2022-12-27T14:33:48Z</dcterms:modified>
</cp:coreProperties>
</file>