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6-Salud\"/>
    </mc:Choice>
  </mc:AlternateContent>
  <bookViews>
    <workbookView xWindow="30" yWindow="30" windowWidth="10620" windowHeight="9210"/>
  </bookViews>
  <sheets>
    <sheet name="  6,13  " sheetId="1" r:id="rId1"/>
  </sheets>
  <definedNames>
    <definedName name="_xlnm.Print_Area" localSheetId="0">'  6,13  '!$B$2:$J$45</definedName>
  </definedNames>
  <calcPr calcId="162913"/>
</workbook>
</file>

<file path=xl/calcChain.xml><?xml version="1.0" encoding="utf-8"?>
<calcChain xmlns="http://schemas.openxmlformats.org/spreadsheetml/2006/main">
  <c r="C25" i="1" l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26" i="1" l="1"/>
</calcChain>
</file>

<file path=xl/sharedStrings.xml><?xml version="1.0" encoding="utf-8"?>
<sst xmlns="http://schemas.openxmlformats.org/spreadsheetml/2006/main" count="39" uniqueCount="16">
  <si>
    <t>DIU</t>
  </si>
  <si>
    <t>PQRR  1/</t>
  </si>
  <si>
    <t>1/ Prevención Quirúrgica de Riesgo Reproductivo.</t>
  </si>
  <si>
    <t>-</t>
  </si>
  <si>
    <t xml:space="preserve">                                                                                                                                                                              </t>
  </si>
  <si>
    <t>Año</t>
  </si>
  <si>
    <t>Total</t>
  </si>
  <si>
    <t>Hormonal</t>
  </si>
  <si>
    <t>Barrera</t>
  </si>
  <si>
    <t>Método  Anticonceptivo</t>
  </si>
  <si>
    <t>Píldora</t>
  </si>
  <si>
    <t>Inyectable</t>
  </si>
  <si>
    <t>Condón</t>
  </si>
  <si>
    <t>Espermicida</t>
  </si>
  <si>
    <t>Fuente: Dirección Regional de Salud - Ica , Oficina de Estadística e Informática.</t>
  </si>
  <si>
    <t>6.13  ICA:  USUARIOS DE MÉTODOS ANTICONCEPTIVOS, 2003 - 2021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</si>
</sst>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##\ ###"/>
  </numFmts>
  <fonts count="13" x14ac:knownFonts="1">
    <font>
      <sz val="10"/>
      <name val="Arial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b/>
      <sz val="7"/>
      <color indexed="8"/>
      <name val="Arial Narrow"/>
      <family val="2"/>
    </font>
    <font>
      <sz val="9"/>
      <color indexed="8"/>
      <name val="Arial Narrow"/>
      <family val="2"/>
    </font>
    <font>
      <b/>
      <sz val="9"/>
      <color indexed="8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sz val="7"/>
      <color indexed="8"/>
      <name val="Arial Narrow"/>
      <family val="2"/>
    </font>
    <font>
      <sz val="9"/>
      <color theme="0"/>
      <name val="Arial Narrow"/>
      <family val="2"/>
    </font>
    <font>
      <sz val="8"/>
      <color rgb="FFFF0000"/>
      <name val="Arial Narrow"/>
      <family val="2"/>
    </font>
    <font>
      <sz val="9"/>
      <color rgb="FFFF0000"/>
      <name val="Arial Narrow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5" fontId="2" fillId="0" borderId="0" xfId="0" applyNumberFormat="1" applyFont="1" applyBorder="1"/>
    <xf numFmtId="165" fontId="2" fillId="0" borderId="0" xfId="0" applyNumberFormat="1" applyFont="1" applyBorder="1" applyAlignment="1">
      <alignment horizontal="right"/>
    </xf>
    <xf numFmtId="165" fontId="2" fillId="0" borderId="0" xfId="0" applyNumberFormat="1" applyFont="1" applyFill="1" applyBorder="1"/>
    <xf numFmtId="165" fontId="2" fillId="0" borderId="0" xfId="0" applyNumberFormat="1" applyFont="1" applyFill="1" applyBorder="1" applyAlignment="1">
      <alignment horizontal="right"/>
    </xf>
    <xf numFmtId="165" fontId="2" fillId="0" borderId="0" xfId="0" quotePrefix="1" applyNumberFormat="1" applyFont="1" applyFill="1" applyBorder="1" applyAlignment="1">
      <alignment horizontal="right"/>
    </xf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6" fillId="0" borderId="0" xfId="0" applyFont="1"/>
    <xf numFmtId="0" fontId="2" fillId="0" borderId="1" xfId="0" applyFont="1" applyBorder="1"/>
    <xf numFmtId="0" fontId="8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2" fillId="0" borderId="3" xfId="0" applyFont="1" applyBorder="1"/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1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164" fontId="9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1" fontId="9" fillId="0" borderId="0" xfId="0" quotePrefix="1" applyNumberFormat="1" applyFont="1" applyAlignment="1">
      <alignment horizontal="right"/>
    </xf>
    <xf numFmtId="164" fontId="9" fillId="0" borderId="0" xfId="0" quotePrefix="1" applyNumberFormat="1" applyFont="1" applyAlignment="1">
      <alignment horizontal="right"/>
    </xf>
    <xf numFmtId="0" fontId="7" fillId="0" borderId="0" xfId="0" applyFont="1"/>
    <xf numFmtId="0" fontId="9" fillId="0" borderId="0" xfId="0" applyFont="1" applyAlignment="1">
      <alignment horizontal="right"/>
    </xf>
    <xf numFmtId="0" fontId="1" fillId="0" borderId="1" xfId="0" applyFont="1" applyBorder="1" applyAlignment="1">
      <alignment horizontal="right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" fillId="0" borderId="6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7" xfId="0" applyFont="1" applyBorder="1" applyAlignment="1">
      <alignment horizontal="right" vertical="center" indent="1"/>
    </xf>
    <xf numFmtId="0" fontId="2" fillId="0" borderId="8" xfId="0" applyFont="1" applyBorder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ysClr val="windowText" lastClr="000000"/>
                </a:solidFill>
                <a:latin typeface="Arial Narrow"/>
              </a:rPr>
              <a:t>ICA: USUARIOS DE MÉTODOS ANTICONCEPTIVOS, 2019 - 2021             </a:t>
            </a:r>
          </a:p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ysClr val="windowText" lastClr="000000"/>
                </a:solidFill>
                <a:latin typeface="Arial Narrow"/>
              </a:rPr>
              <a:t> </a:t>
            </a:r>
            <a:r>
              <a:rPr lang="es-ES" sz="900" b="0" i="0" u="none" strike="noStrike" baseline="0">
                <a:solidFill>
                  <a:sysClr val="windowText" lastClr="000000"/>
                </a:solidFill>
                <a:latin typeface="Arial Narrow"/>
              </a:rPr>
              <a:t>(En miles)</a:t>
            </a:r>
          </a:p>
        </c:rich>
      </c:tx>
      <c:layout>
        <c:manualLayout>
          <c:xMode val="edge"/>
          <c:yMode val="edge"/>
          <c:x val="0.18455325437261519"/>
          <c:y val="2.7166247076258324E-2"/>
        </c:manualLayout>
      </c:layout>
      <c:overlay val="0"/>
      <c:spPr>
        <a:noFill/>
        <a:ln w="25400">
          <a:noFill/>
        </a:ln>
      </c:spPr>
    </c:title>
    <c:autoTitleDeleted val="0"/>
    <c:view3D>
      <c:rotX val="0"/>
      <c:hPercent val="45"/>
      <c:rotY val="0"/>
      <c:depthPercent val="2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FFFFFF"/>
        </a:solidFill>
        <a:ln w="25400">
          <a:noFill/>
        </a:ln>
      </c:spPr>
    </c:sideWall>
    <c:backWall>
      <c:thickness val="0"/>
      <c:spPr>
        <a:solidFill>
          <a:srgbClr val="FFFFFF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2644356955380582E-3"/>
          <c:y val="0.17416482939632547"/>
          <c:w val="0.98347206655159092"/>
          <c:h val="0.67438278215223102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'  6,13  '!$L$33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5.2083333333333807E-3"/>
                  <c:y val="-2.4444162063398386E-17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4C4-4C99-9193-5606A3DD65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6,13  '!$M$30:$P$32</c:f>
              <c:strCache>
                <c:ptCount val="4"/>
                <c:pt idx="0">
                  <c:v>DIU</c:v>
                </c:pt>
                <c:pt idx="1">
                  <c:v>Píldora</c:v>
                </c:pt>
                <c:pt idx="2">
                  <c:v>Inyectable</c:v>
                </c:pt>
                <c:pt idx="3">
                  <c:v>Condón</c:v>
                </c:pt>
              </c:strCache>
            </c:strRef>
          </c:cat>
          <c:val>
            <c:numRef>
              <c:f>'  6,13  '!$M$33:$P$33</c:f>
              <c:numCache>
                <c:formatCode>0.0</c:formatCode>
                <c:ptCount val="4"/>
                <c:pt idx="0">
                  <c:v>0.496</c:v>
                </c:pt>
                <c:pt idx="1">
                  <c:v>7.0439999999999996</c:v>
                </c:pt>
                <c:pt idx="2">
                  <c:v>39.139000000000003</c:v>
                </c:pt>
                <c:pt idx="3">
                  <c:v>4.9210000000000003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C4-4C99-9193-5606A3DD65D9}"/>
            </c:ext>
          </c:extLst>
        </c:ser>
        <c:ser>
          <c:idx val="2"/>
          <c:order val="1"/>
          <c:tx>
            <c:strRef>
              <c:f>'  6,13  '!$L$34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FF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2.6041666666666188E-3"/>
                  <c:y val="0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24C4-4C99-9193-5606A3DD65D9}"/>
                </c:ext>
              </c:extLst>
            </c:dLbl>
            <c:dLbl>
              <c:idx val="3"/>
              <c:layout>
                <c:manualLayout>
                  <c:x val="2.6041666666665711E-3"/>
                  <c:y val="-1.0666666666666765E-2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24C4-4C99-9193-5606A3DD65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6,13  '!$M$30:$P$32</c:f>
              <c:strCache>
                <c:ptCount val="4"/>
                <c:pt idx="0">
                  <c:v>DIU</c:v>
                </c:pt>
                <c:pt idx="1">
                  <c:v>Píldora</c:v>
                </c:pt>
                <c:pt idx="2">
                  <c:v>Inyectable</c:v>
                </c:pt>
                <c:pt idx="3">
                  <c:v>Condón</c:v>
                </c:pt>
              </c:strCache>
            </c:strRef>
          </c:cat>
          <c:val>
            <c:numRef>
              <c:f>'  6,13  '!$M$34:$P$34</c:f>
              <c:numCache>
                <c:formatCode>0.0</c:formatCode>
                <c:ptCount val="4"/>
                <c:pt idx="0">
                  <c:v>0.46700000000000003</c:v>
                </c:pt>
                <c:pt idx="1">
                  <c:v>7.7640000000000002</c:v>
                </c:pt>
                <c:pt idx="2">
                  <c:v>32.390999999999998</c:v>
                </c:pt>
                <c:pt idx="3">
                  <c:v>7.6609999999999996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4-4C99-9193-5606A3DD65D9}"/>
            </c:ext>
          </c:extLst>
        </c:ser>
        <c:ser>
          <c:idx val="0"/>
          <c:order val="2"/>
          <c:tx>
            <c:strRef>
              <c:f>'  6,13  '!$L$35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5.208333333333333E-3"/>
                  <c:y val="0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24C4-4C99-9193-5606A3DD65D9}"/>
                </c:ext>
              </c:extLst>
            </c:dLbl>
            <c:dLbl>
              <c:idx val="2"/>
              <c:layout>
                <c:manualLayout>
                  <c:x val="7.8125E-3"/>
                  <c:y val="-2.4444162063398386E-17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24C4-4C99-9193-5606A3DD65D9}"/>
                </c:ext>
              </c:extLst>
            </c:dLbl>
            <c:dLbl>
              <c:idx val="3"/>
              <c:layout>
                <c:manualLayout>
                  <c:x val="5.208333333333333E-3"/>
                  <c:y val="5.3333333333333332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latin typeface="Arial Narrow" panose="020B0606020202030204" pitchFamily="34" charset="0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4C4-4C99-9193-5606A3DD65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6,13  '!$M$30:$P$32</c:f>
              <c:strCache>
                <c:ptCount val="4"/>
                <c:pt idx="0">
                  <c:v>DIU</c:v>
                </c:pt>
                <c:pt idx="1">
                  <c:v>Píldora</c:v>
                </c:pt>
                <c:pt idx="2">
                  <c:v>Inyectable</c:v>
                </c:pt>
                <c:pt idx="3">
                  <c:v>Condón</c:v>
                </c:pt>
              </c:strCache>
            </c:strRef>
          </c:cat>
          <c:val>
            <c:numRef>
              <c:f>'  6,13  '!$M$35:$P$35</c:f>
              <c:numCache>
                <c:formatCode>0.0</c:formatCode>
                <c:ptCount val="4"/>
                <c:pt idx="0">
                  <c:v>0.51700000000000002</c:v>
                </c:pt>
                <c:pt idx="1">
                  <c:v>12.88</c:v>
                </c:pt>
                <c:pt idx="2">
                  <c:v>45.26</c:v>
                </c:pt>
                <c:pt idx="3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C4-4C99-9193-5606A3DD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gapDepth val="500"/>
        <c:shape val="box"/>
        <c:axId val="259160208"/>
        <c:axId val="259484792"/>
        <c:axId val="0"/>
      </c:bar3DChart>
      <c:catAx>
        <c:axId val="25916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s-ES" sz="800"/>
                  <a:t>Fuente: Dirección Regional de Salud - Ica</a:t>
                </a:r>
              </a:p>
            </c:rich>
          </c:tx>
          <c:layout>
            <c:manualLayout>
              <c:xMode val="edge"/>
              <c:yMode val="edge"/>
              <c:x val="3.5144562007874018E-2"/>
              <c:y val="0.9390630971128609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  <c:crossAx val="25948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948479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2591602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1933604002624669"/>
          <c:y val="0.33840293963254592"/>
          <c:w val="7.0334030511810974E-2"/>
          <c:h val="0.174905196850393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orientation="landscape" horizontalDpi="120" verticalDpi="144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7</xdr:row>
      <xdr:rowOff>9525</xdr:rowOff>
    </xdr:from>
    <xdr:to>
      <xdr:col>19</xdr:col>
      <xdr:colOff>400051</xdr:colOff>
      <xdr:row>27</xdr:row>
      <xdr:rowOff>57150</xdr:rowOff>
    </xdr:to>
    <xdr:graphicFrame macro="">
      <xdr:nvGraphicFramePr>
        <xdr:cNvPr id="1164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16651</xdr:colOff>
      <xdr:row>1</xdr:row>
      <xdr:rowOff>83326</xdr:rowOff>
    </xdr:from>
    <xdr:to>
      <xdr:col>14</xdr:col>
      <xdr:colOff>321869</xdr:colOff>
      <xdr:row>5</xdr:row>
      <xdr:rowOff>57150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9851" y="197626"/>
          <a:ext cx="1171993" cy="469124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</xdr:row>
      <xdr:rowOff>86916</xdr:rowOff>
    </xdr:from>
    <xdr:to>
      <xdr:col>14</xdr:col>
      <xdr:colOff>324270</xdr:colOff>
      <xdr:row>5</xdr:row>
      <xdr:rowOff>62375</xdr:rowOff>
    </xdr:to>
    <xdr:pic macro="[0]!Imagenes">
      <xdr:nvPicPr>
        <xdr:cNvPr id="2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9395" y="229791"/>
          <a:ext cx="1174375" cy="4755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9"/>
  <sheetViews>
    <sheetView showGridLines="0" tabSelected="1" zoomScaleNormal="100" workbookViewId="0">
      <selection activeCell="H33" sqref="H33"/>
    </sheetView>
  </sheetViews>
  <sheetFormatPr baseColWidth="10" defaultRowHeight="12.75" customHeight="1" x14ac:dyDescent="0.2"/>
  <cols>
    <col min="1" max="1" width="1.7109375" customWidth="1"/>
    <col min="2" max="2" width="8.7109375" customWidth="1"/>
    <col min="3" max="6" width="10.7109375" customWidth="1"/>
    <col min="7" max="7" width="0.85546875" customWidth="1"/>
    <col min="8" max="10" width="10.7109375" customWidth="1"/>
    <col min="11" max="11" width="4.7109375" customWidth="1"/>
    <col min="12" max="12" width="7.28515625" customWidth="1"/>
    <col min="13" max="13" width="5.85546875" customWidth="1"/>
    <col min="14" max="14" width="7.140625" customWidth="1"/>
    <col min="15" max="15" width="6.42578125" customWidth="1"/>
    <col min="16" max="16" width="8.28515625" customWidth="1"/>
    <col min="17" max="18" width="11.42578125" customWidth="1"/>
  </cols>
  <sheetData>
    <row r="1" spans="1:16" ht="11.25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9"/>
      <c r="L1" s="8"/>
      <c r="M1" s="8"/>
      <c r="N1" s="8"/>
      <c r="O1" s="10"/>
      <c r="P1" s="10"/>
    </row>
    <row r="2" spans="1:16" ht="12" customHeight="1" x14ac:dyDescent="0.25">
      <c r="A2" s="8"/>
      <c r="B2" s="9" t="s">
        <v>15</v>
      </c>
      <c r="C2" s="8"/>
      <c r="D2" s="8"/>
      <c r="E2" s="8"/>
      <c r="F2" s="8"/>
      <c r="G2" s="8"/>
      <c r="H2" s="8"/>
      <c r="I2" s="8"/>
      <c r="J2" s="8"/>
      <c r="K2" s="9"/>
      <c r="L2" s="8"/>
      <c r="M2" s="8"/>
      <c r="N2" s="8"/>
      <c r="O2" s="10"/>
      <c r="P2" s="10"/>
    </row>
    <row r="3" spans="1:16" ht="3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10"/>
      <c r="P3" s="10"/>
    </row>
    <row r="4" spans="1:16" ht="12" customHeight="1" x14ac:dyDescent="0.25">
      <c r="A4" s="8"/>
      <c r="B4" s="19"/>
      <c r="C4" s="35" t="s">
        <v>6</v>
      </c>
      <c r="D4" s="38" t="s">
        <v>9</v>
      </c>
      <c r="E4" s="39"/>
      <c r="F4" s="39"/>
      <c r="G4" s="39"/>
      <c r="H4" s="39"/>
      <c r="I4" s="39"/>
      <c r="J4" s="39"/>
      <c r="K4" s="7"/>
      <c r="L4" s="8"/>
      <c r="M4" s="8"/>
      <c r="N4" s="8"/>
      <c r="O4" s="10"/>
      <c r="P4" s="10"/>
    </row>
    <row r="5" spans="1:16" ht="12" customHeight="1" x14ac:dyDescent="0.25">
      <c r="A5" s="8"/>
      <c r="B5" s="18" t="s">
        <v>5</v>
      </c>
      <c r="C5" s="36"/>
      <c r="D5" s="33" t="s">
        <v>7</v>
      </c>
      <c r="E5" s="34"/>
      <c r="F5" s="34"/>
      <c r="G5" s="21"/>
      <c r="H5" s="33" t="s">
        <v>8</v>
      </c>
      <c r="I5" s="34"/>
      <c r="J5" s="34"/>
      <c r="K5" s="7"/>
      <c r="L5" s="8"/>
      <c r="M5" s="8"/>
      <c r="N5" s="8"/>
      <c r="O5" s="10"/>
      <c r="P5" s="10"/>
    </row>
    <row r="6" spans="1:16" ht="12" customHeight="1" x14ac:dyDescent="0.25">
      <c r="A6" s="8"/>
      <c r="B6" s="18"/>
      <c r="C6" s="37"/>
      <c r="D6" s="20" t="s">
        <v>0</v>
      </c>
      <c r="E6" s="29" t="s">
        <v>10</v>
      </c>
      <c r="F6" s="20" t="s">
        <v>11</v>
      </c>
      <c r="G6" s="20"/>
      <c r="H6" s="20" t="s">
        <v>12</v>
      </c>
      <c r="I6" s="20" t="s">
        <v>13</v>
      </c>
      <c r="J6" s="20" t="s">
        <v>1</v>
      </c>
      <c r="K6" s="7"/>
      <c r="L6" s="8"/>
      <c r="M6" s="8"/>
      <c r="N6" s="8"/>
      <c r="O6" s="10"/>
      <c r="P6" s="23">
        <v>2</v>
      </c>
    </row>
    <row r="7" spans="1:16" ht="3" customHeight="1" x14ac:dyDescent="0.25">
      <c r="A7" s="8"/>
      <c r="B7" s="13"/>
      <c r="C7" s="7"/>
      <c r="D7" s="7"/>
      <c r="E7" s="7"/>
      <c r="F7" s="7"/>
      <c r="G7" s="7"/>
      <c r="H7" s="7"/>
      <c r="I7" s="7"/>
      <c r="J7" s="7"/>
      <c r="K7" s="7"/>
      <c r="L7" s="8"/>
      <c r="M7" s="8"/>
      <c r="N7" s="8"/>
      <c r="O7" s="10"/>
      <c r="P7" s="10"/>
    </row>
    <row r="8" spans="1:16" ht="11.25" customHeight="1" x14ac:dyDescent="0.25">
      <c r="A8" s="8"/>
      <c r="B8" s="14">
        <v>2003</v>
      </c>
      <c r="C8" s="1">
        <f t="shared" ref="C8:C25" si="0">SUM(D8:J8)</f>
        <v>27610</v>
      </c>
      <c r="D8" s="1">
        <v>1550</v>
      </c>
      <c r="E8" s="1">
        <v>7823</v>
      </c>
      <c r="F8" s="1">
        <v>15600</v>
      </c>
      <c r="G8" s="1"/>
      <c r="H8" s="1">
        <v>2440</v>
      </c>
      <c r="I8" s="1">
        <v>17</v>
      </c>
      <c r="J8" s="2">
        <v>180</v>
      </c>
      <c r="K8" s="7"/>
      <c r="L8" s="8"/>
      <c r="M8" s="8"/>
      <c r="N8" s="8"/>
      <c r="O8" s="10"/>
      <c r="P8" s="10"/>
    </row>
    <row r="9" spans="1:16" ht="11.25" customHeight="1" x14ac:dyDescent="0.25">
      <c r="A9" s="8"/>
      <c r="B9" s="15">
        <v>2004</v>
      </c>
      <c r="C9" s="1">
        <f t="shared" si="0"/>
        <v>20404</v>
      </c>
      <c r="D9" s="3">
        <v>930</v>
      </c>
      <c r="E9" s="3">
        <v>5775</v>
      </c>
      <c r="F9" s="3">
        <v>11185</v>
      </c>
      <c r="G9" s="3"/>
      <c r="H9" s="3">
        <v>2374</v>
      </c>
      <c r="I9" s="3">
        <v>4</v>
      </c>
      <c r="J9" s="4">
        <v>136</v>
      </c>
      <c r="K9" s="7"/>
      <c r="L9" s="8"/>
      <c r="M9" s="8"/>
      <c r="N9" s="8"/>
      <c r="O9" s="10"/>
      <c r="P9" s="10"/>
    </row>
    <row r="10" spans="1:16" ht="11.25" customHeight="1" x14ac:dyDescent="0.25">
      <c r="A10" s="8"/>
      <c r="B10" s="15">
        <v>2005</v>
      </c>
      <c r="C10" s="1">
        <f t="shared" si="0"/>
        <v>27737</v>
      </c>
      <c r="D10" s="3">
        <v>1135</v>
      </c>
      <c r="E10" s="3">
        <v>7606</v>
      </c>
      <c r="F10" s="3">
        <v>16413</v>
      </c>
      <c r="G10" s="3"/>
      <c r="H10" s="3">
        <v>2325</v>
      </c>
      <c r="I10" s="5" t="s">
        <v>3</v>
      </c>
      <c r="J10" s="4">
        <v>258</v>
      </c>
      <c r="K10" s="7"/>
      <c r="L10" s="8"/>
      <c r="M10" s="8"/>
      <c r="N10" s="8"/>
      <c r="O10" s="10"/>
      <c r="P10" s="10"/>
    </row>
    <row r="11" spans="1:16" ht="11.25" customHeight="1" x14ac:dyDescent="0.25">
      <c r="A11" s="8"/>
      <c r="B11" s="15">
        <v>2006</v>
      </c>
      <c r="C11" s="1">
        <f t="shared" si="0"/>
        <v>31599</v>
      </c>
      <c r="D11" s="3">
        <v>2093</v>
      </c>
      <c r="E11" s="3">
        <v>9316</v>
      </c>
      <c r="F11" s="3">
        <v>17055</v>
      </c>
      <c r="G11" s="3"/>
      <c r="H11" s="3">
        <v>2590</v>
      </c>
      <c r="I11" s="5" t="s">
        <v>3</v>
      </c>
      <c r="J11" s="4">
        <v>545</v>
      </c>
      <c r="K11" s="7"/>
      <c r="L11" s="8"/>
      <c r="M11" s="8"/>
      <c r="N11" s="8"/>
      <c r="O11" s="10"/>
      <c r="P11" s="10"/>
    </row>
    <row r="12" spans="1:16" ht="11.25" customHeight="1" x14ac:dyDescent="0.25">
      <c r="A12" s="8"/>
      <c r="B12" s="15">
        <v>2007</v>
      </c>
      <c r="C12" s="1">
        <f t="shared" si="0"/>
        <v>30779</v>
      </c>
      <c r="D12" s="3">
        <v>2917</v>
      </c>
      <c r="E12" s="3">
        <v>9450</v>
      </c>
      <c r="F12" s="3">
        <v>16348</v>
      </c>
      <c r="G12" s="3"/>
      <c r="H12" s="3">
        <v>1677</v>
      </c>
      <c r="I12" s="5" t="s">
        <v>3</v>
      </c>
      <c r="J12" s="4">
        <v>387</v>
      </c>
      <c r="K12" s="7"/>
      <c r="L12" s="8"/>
      <c r="M12" s="8"/>
      <c r="N12" s="8"/>
      <c r="O12" s="10"/>
      <c r="P12" s="10"/>
    </row>
    <row r="13" spans="1:16" ht="11.25" customHeight="1" x14ac:dyDescent="0.25">
      <c r="A13" s="8"/>
      <c r="B13" s="15">
        <v>2008</v>
      </c>
      <c r="C13" s="1">
        <f t="shared" si="0"/>
        <v>29482</v>
      </c>
      <c r="D13" s="3">
        <v>901</v>
      </c>
      <c r="E13" s="3">
        <v>9080</v>
      </c>
      <c r="F13" s="3">
        <v>16942</v>
      </c>
      <c r="G13" s="3"/>
      <c r="H13" s="3">
        <v>2032</v>
      </c>
      <c r="I13" s="5" t="s">
        <v>3</v>
      </c>
      <c r="J13" s="4">
        <v>527</v>
      </c>
      <c r="K13" s="7"/>
      <c r="L13" s="8"/>
      <c r="M13" s="8"/>
      <c r="N13" s="8"/>
      <c r="O13" s="10"/>
      <c r="P13" s="10"/>
    </row>
    <row r="14" spans="1:16" ht="11.25" customHeight="1" x14ac:dyDescent="0.25">
      <c r="A14" s="8"/>
      <c r="B14" s="15">
        <v>2009</v>
      </c>
      <c r="C14" s="1">
        <f t="shared" si="0"/>
        <v>31394</v>
      </c>
      <c r="D14" s="3">
        <v>831</v>
      </c>
      <c r="E14" s="3">
        <v>8474</v>
      </c>
      <c r="F14" s="3">
        <v>19476</v>
      </c>
      <c r="G14" s="3"/>
      <c r="H14" s="3">
        <v>2039</v>
      </c>
      <c r="I14" s="5" t="s">
        <v>3</v>
      </c>
      <c r="J14" s="4">
        <v>574</v>
      </c>
      <c r="K14" s="7"/>
      <c r="L14" s="8"/>
      <c r="M14" s="8"/>
      <c r="N14" s="8"/>
      <c r="O14" s="10"/>
      <c r="P14" s="10"/>
    </row>
    <row r="15" spans="1:16" ht="11.25" customHeight="1" x14ac:dyDescent="0.25">
      <c r="A15" s="8"/>
      <c r="B15" s="15">
        <v>2010</v>
      </c>
      <c r="C15" s="1">
        <f t="shared" si="0"/>
        <v>31220</v>
      </c>
      <c r="D15" s="3">
        <v>729</v>
      </c>
      <c r="E15" s="3">
        <v>9302</v>
      </c>
      <c r="F15" s="3">
        <v>19381</v>
      </c>
      <c r="G15" s="3"/>
      <c r="H15" s="3">
        <v>1439</v>
      </c>
      <c r="I15" s="5" t="s">
        <v>3</v>
      </c>
      <c r="J15" s="4">
        <v>369</v>
      </c>
      <c r="K15" s="7"/>
      <c r="L15" s="8"/>
      <c r="M15" s="8"/>
      <c r="N15" s="8"/>
      <c r="O15" s="10"/>
      <c r="P15" s="10"/>
    </row>
    <row r="16" spans="1:16" ht="11.25" customHeight="1" x14ac:dyDescent="0.25">
      <c r="A16" s="8"/>
      <c r="B16" s="15">
        <v>2011</v>
      </c>
      <c r="C16" s="1">
        <f t="shared" si="0"/>
        <v>30409</v>
      </c>
      <c r="D16" s="3">
        <v>720</v>
      </c>
      <c r="E16" s="3">
        <v>9007</v>
      </c>
      <c r="F16" s="3">
        <v>18478</v>
      </c>
      <c r="G16" s="3"/>
      <c r="H16" s="3">
        <v>1813</v>
      </c>
      <c r="I16" s="5" t="s">
        <v>3</v>
      </c>
      <c r="J16" s="4">
        <v>391</v>
      </c>
      <c r="K16" s="7"/>
      <c r="L16" s="8"/>
      <c r="M16" s="8"/>
      <c r="N16" s="8"/>
      <c r="O16" s="10"/>
      <c r="P16" s="10"/>
    </row>
    <row r="17" spans="1:16" ht="11.25" customHeight="1" x14ac:dyDescent="0.25">
      <c r="A17" s="8"/>
      <c r="B17" s="15">
        <v>2012</v>
      </c>
      <c r="C17" s="1">
        <f t="shared" si="0"/>
        <v>110368</v>
      </c>
      <c r="D17" s="3">
        <v>1524</v>
      </c>
      <c r="E17" s="3">
        <v>35708</v>
      </c>
      <c r="F17" s="3">
        <v>61731</v>
      </c>
      <c r="G17" s="3"/>
      <c r="H17" s="3">
        <v>10895</v>
      </c>
      <c r="I17" s="5" t="s">
        <v>3</v>
      </c>
      <c r="J17" s="4">
        <v>510</v>
      </c>
      <c r="K17" s="7"/>
      <c r="L17" s="8"/>
      <c r="M17" s="8"/>
      <c r="N17" s="8"/>
      <c r="O17" s="10"/>
      <c r="P17" s="10"/>
    </row>
    <row r="18" spans="1:16" ht="11.25" customHeight="1" x14ac:dyDescent="0.25">
      <c r="A18" s="8"/>
      <c r="B18" s="16">
        <v>2013</v>
      </c>
      <c r="C18" s="1">
        <f t="shared" si="0"/>
        <v>103656</v>
      </c>
      <c r="D18" s="3">
        <v>922</v>
      </c>
      <c r="E18" s="3">
        <v>28984</v>
      </c>
      <c r="F18" s="3">
        <v>62022</v>
      </c>
      <c r="G18" s="3"/>
      <c r="H18" s="3">
        <v>11195</v>
      </c>
      <c r="I18" s="5" t="s">
        <v>3</v>
      </c>
      <c r="J18" s="4">
        <v>533</v>
      </c>
      <c r="K18" s="7"/>
      <c r="L18" s="8"/>
      <c r="M18" s="8"/>
      <c r="N18" s="8"/>
      <c r="O18" s="10"/>
      <c r="P18" s="10"/>
    </row>
    <row r="19" spans="1:16" ht="11.25" customHeight="1" x14ac:dyDescent="0.25">
      <c r="A19" s="8"/>
      <c r="B19" s="16">
        <v>2014</v>
      </c>
      <c r="C19" s="1">
        <f t="shared" si="0"/>
        <v>99203</v>
      </c>
      <c r="D19" s="3">
        <v>685</v>
      </c>
      <c r="E19" s="3">
        <v>27135</v>
      </c>
      <c r="F19" s="3">
        <v>60753</v>
      </c>
      <c r="G19" s="3"/>
      <c r="H19" s="3">
        <v>10037</v>
      </c>
      <c r="I19" s="5" t="s">
        <v>3</v>
      </c>
      <c r="J19" s="4">
        <v>593</v>
      </c>
      <c r="K19" s="7"/>
      <c r="L19" s="8"/>
      <c r="M19" s="8"/>
      <c r="N19" s="8"/>
      <c r="O19" s="10"/>
      <c r="P19" s="10"/>
    </row>
    <row r="20" spans="1:16" ht="11.25" customHeight="1" x14ac:dyDescent="0.25">
      <c r="A20" s="8"/>
      <c r="B20" s="16">
        <v>2015</v>
      </c>
      <c r="C20" s="1">
        <f t="shared" si="0"/>
        <v>134387</v>
      </c>
      <c r="D20" s="3">
        <v>1696</v>
      </c>
      <c r="E20" s="3">
        <v>25603</v>
      </c>
      <c r="F20" s="3">
        <v>94303</v>
      </c>
      <c r="G20" s="3"/>
      <c r="H20" s="3">
        <v>12315</v>
      </c>
      <c r="I20" s="5" t="s">
        <v>3</v>
      </c>
      <c r="J20" s="4">
        <v>470</v>
      </c>
      <c r="K20" s="7"/>
      <c r="L20" s="8"/>
      <c r="M20" s="8"/>
      <c r="N20" s="8"/>
      <c r="O20" s="10"/>
      <c r="P20" s="10"/>
    </row>
    <row r="21" spans="1:16" ht="11.25" customHeight="1" x14ac:dyDescent="0.25">
      <c r="A21" s="8"/>
      <c r="B21" s="16">
        <v>2016</v>
      </c>
      <c r="C21" s="1">
        <f t="shared" si="0"/>
        <v>118413</v>
      </c>
      <c r="D21" s="3">
        <v>1732</v>
      </c>
      <c r="E21" s="3">
        <v>25710</v>
      </c>
      <c r="F21" s="3">
        <v>78004</v>
      </c>
      <c r="G21" s="3"/>
      <c r="H21" s="3">
        <v>12674</v>
      </c>
      <c r="I21" s="5" t="s">
        <v>3</v>
      </c>
      <c r="J21" s="4">
        <v>293</v>
      </c>
      <c r="K21" s="7"/>
      <c r="L21" s="8"/>
      <c r="M21" s="8"/>
      <c r="N21" s="8"/>
      <c r="O21" s="10"/>
      <c r="P21" s="10"/>
    </row>
    <row r="22" spans="1:16" ht="11.25" customHeight="1" x14ac:dyDescent="0.25">
      <c r="A22" s="8"/>
      <c r="B22" s="16">
        <v>2017</v>
      </c>
      <c r="C22" s="1">
        <f t="shared" si="0"/>
        <v>123660</v>
      </c>
      <c r="D22" s="3">
        <v>1451</v>
      </c>
      <c r="E22" s="3">
        <v>19843</v>
      </c>
      <c r="F22" s="3">
        <v>88845</v>
      </c>
      <c r="G22" s="3"/>
      <c r="H22" s="3">
        <v>13260</v>
      </c>
      <c r="I22" s="5" t="s">
        <v>3</v>
      </c>
      <c r="J22" s="4">
        <v>261</v>
      </c>
      <c r="K22" s="7"/>
      <c r="L22" s="8"/>
      <c r="M22" s="8"/>
      <c r="N22" s="8"/>
      <c r="O22" s="10"/>
      <c r="P22" s="10"/>
    </row>
    <row r="23" spans="1:16" ht="11.25" customHeight="1" x14ac:dyDescent="0.25">
      <c r="A23" s="8"/>
      <c r="B23" s="16">
        <v>2018</v>
      </c>
      <c r="C23" s="1">
        <f t="shared" si="0"/>
        <v>93794</v>
      </c>
      <c r="D23" s="3">
        <v>1605</v>
      </c>
      <c r="E23" s="3">
        <v>20804</v>
      </c>
      <c r="F23" s="3">
        <v>58568</v>
      </c>
      <c r="G23" s="3"/>
      <c r="H23" s="3">
        <v>12689</v>
      </c>
      <c r="I23" s="5" t="s">
        <v>3</v>
      </c>
      <c r="J23" s="4">
        <v>128</v>
      </c>
      <c r="K23" s="7"/>
      <c r="L23" s="8"/>
      <c r="M23" s="8"/>
      <c r="N23" s="8"/>
      <c r="O23" s="10"/>
      <c r="P23" s="10"/>
    </row>
    <row r="24" spans="1:16" ht="11.25" customHeight="1" x14ac:dyDescent="0.25">
      <c r="A24" s="8"/>
      <c r="B24" s="16">
        <v>2019</v>
      </c>
      <c r="C24" s="1">
        <f t="shared" si="0"/>
        <v>51600</v>
      </c>
      <c r="D24" s="3">
        <v>496</v>
      </c>
      <c r="E24" s="3">
        <v>7044</v>
      </c>
      <c r="F24" s="3">
        <v>39139</v>
      </c>
      <c r="G24" s="3"/>
      <c r="H24" s="3">
        <v>4921</v>
      </c>
      <c r="I24" s="5" t="s">
        <v>3</v>
      </c>
      <c r="J24" s="4" t="s">
        <v>3</v>
      </c>
      <c r="K24" s="7"/>
      <c r="L24" s="8"/>
      <c r="M24" s="8"/>
      <c r="N24" s="8"/>
      <c r="O24" s="10"/>
      <c r="P24" s="10"/>
    </row>
    <row r="25" spans="1:16" ht="11.25" customHeight="1" x14ac:dyDescent="0.25">
      <c r="A25" s="8"/>
      <c r="B25" s="16">
        <v>2020</v>
      </c>
      <c r="C25" s="1">
        <f t="shared" si="0"/>
        <v>48283</v>
      </c>
      <c r="D25" s="3">
        <v>467</v>
      </c>
      <c r="E25" s="3">
        <v>7764</v>
      </c>
      <c r="F25" s="3">
        <v>32391</v>
      </c>
      <c r="G25" s="3"/>
      <c r="H25" s="3">
        <v>7661</v>
      </c>
      <c r="I25" s="5" t="s">
        <v>3</v>
      </c>
      <c r="J25" s="4" t="s">
        <v>3</v>
      </c>
      <c r="K25" s="7"/>
      <c r="L25" s="8"/>
      <c r="M25" s="8"/>
      <c r="N25" s="8"/>
      <c r="O25" s="10"/>
      <c r="P25" s="10"/>
    </row>
    <row r="26" spans="1:16" ht="11.25" customHeight="1" x14ac:dyDescent="0.25">
      <c r="A26" s="8"/>
      <c r="B26" s="16">
        <v>2021</v>
      </c>
      <c r="C26" s="1">
        <f t="shared" ref="C26" si="1">SUM(D26:J26)</f>
        <v>68068</v>
      </c>
      <c r="D26" s="3">
        <v>517</v>
      </c>
      <c r="E26" s="3">
        <v>12888</v>
      </c>
      <c r="F26" s="3">
        <v>45262</v>
      </c>
      <c r="G26" s="3"/>
      <c r="H26" s="3">
        <v>9401</v>
      </c>
      <c r="I26" s="5" t="s">
        <v>3</v>
      </c>
      <c r="J26" s="4" t="s">
        <v>3</v>
      </c>
      <c r="K26" s="7"/>
      <c r="L26" s="10"/>
      <c r="M26" s="10"/>
      <c r="N26" s="10"/>
      <c r="O26" s="10"/>
      <c r="P26" s="10"/>
    </row>
    <row r="27" spans="1:16" ht="3" customHeight="1" x14ac:dyDescent="0.25">
      <c r="A27" s="8"/>
      <c r="B27" s="17"/>
      <c r="C27" s="11"/>
      <c r="D27" s="11"/>
      <c r="E27" s="11"/>
      <c r="F27" s="11"/>
      <c r="G27" s="11"/>
      <c r="H27" s="11"/>
      <c r="I27" s="11"/>
      <c r="J27" s="11"/>
      <c r="K27" s="7"/>
      <c r="L27" s="10"/>
      <c r="M27" s="10"/>
      <c r="N27" s="10"/>
      <c r="O27" s="10"/>
      <c r="P27" s="10"/>
    </row>
    <row r="28" spans="1:16" ht="10.5" customHeight="1" x14ac:dyDescent="0.25">
      <c r="A28" s="8"/>
      <c r="B28" s="12" t="s">
        <v>2</v>
      </c>
      <c r="C28" s="7"/>
      <c r="D28" s="7"/>
      <c r="E28" s="7"/>
      <c r="F28" s="7"/>
      <c r="G28" s="7"/>
      <c r="H28" s="7"/>
      <c r="I28" s="7"/>
      <c r="J28" s="7"/>
      <c r="K28" s="30"/>
      <c r="L28" s="31"/>
      <c r="M28" s="31"/>
      <c r="N28" s="31"/>
      <c r="O28" s="31"/>
      <c r="P28" s="31"/>
    </row>
    <row r="29" spans="1:16" ht="9.75" customHeight="1" x14ac:dyDescent="0.25">
      <c r="A29" s="8"/>
      <c r="B29" s="6" t="s">
        <v>14</v>
      </c>
      <c r="C29" s="7"/>
      <c r="D29" s="7"/>
      <c r="E29" s="7"/>
      <c r="F29" s="7"/>
      <c r="G29" s="7"/>
      <c r="H29" s="7"/>
      <c r="I29" s="7"/>
      <c r="J29" s="7"/>
      <c r="K29" s="30"/>
      <c r="L29" s="23"/>
      <c r="M29" s="23"/>
      <c r="N29" s="23"/>
      <c r="O29" s="23"/>
      <c r="P29" s="23"/>
    </row>
    <row r="30" spans="1:16" ht="12" customHeight="1" x14ac:dyDescent="0.25">
      <c r="A30" s="8"/>
      <c r="B30" s="7"/>
      <c r="C30" s="7"/>
      <c r="D30" s="7"/>
      <c r="E30" s="7"/>
      <c r="F30" s="7"/>
      <c r="G30" s="7"/>
      <c r="H30" s="7"/>
      <c r="I30" s="7"/>
      <c r="J30" s="7"/>
      <c r="K30" s="30"/>
      <c r="L30" s="23"/>
      <c r="M30" s="23"/>
      <c r="N30" s="23"/>
      <c r="O30" s="23"/>
      <c r="P30" s="23"/>
    </row>
    <row r="31" spans="1:16" ht="13.5" x14ac:dyDescent="0.25">
      <c r="A31" s="8"/>
      <c r="B31" s="7"/>
      <c r="C31" s="7"/>
      <c r="D31" s="7"/>
      <c r="E31" s="7"/>
      <c r="F31" s="7"/>
      <c r="G31" s="7"/>
      <c r="H31" s="7"/>
      <c r="I31" s="7"/>
      <c r="J31" s="7"/>
      <c r="K31" s="30"/>
      <c r="L31" s="23"/>
      <c r="M31" s="23"/>
      <c r="N31" s="23"/>
      <c r="O31" s="23"/>
      <c r="P31" s="23"/>
    </row>
    <row r="32" spans="1:16" ht="13.5" x14ac:dyDescent="0.25">
      <c r="A32" s="8"/>
      <c r="B32" s="7"/>
      <c r="C32" s="7"/>
      <c r="D32" s="7"/>
      <c r="E32" s="7"/>
      <c r="F32" s="7"/>
      <c r="G32" s="7"/>
      <c r="H32" s="7"/>
      <c r="I32" s="7"/>
      <c r="J32" s="7"/>
      <c r="K32" s="30"/>
      <c r="L32" s="23"/>
      <c r="M32" s="24" t="s">
        <v>0</v>
      </c>
      <c r="N32" s="23" t="s">
        <v>10</v>
      </c>
      <c r="O32" s="23" t="s">
        <v>11</v>
      </c>
      <c r="P32" s="28" t="s">
        <v>12</v>
      </c>
    </row>
    <row r="33" spans="1:16" ht="13.5" x14ac:dyDescent="0.25">
      <c r="A33" s="8"/>
      <c r="B33" s="7"/>
      <c r="C33" s="7"/>
      <c r="D33" s="7"/>
      <c r="E33" s="7"/>
      <c r="F33" s="7"/>
      <c r="G33" s="7"/>
      <c r="H33" s="7"/>
      <c r="I33" s="7"/>
      <c r="J33" s="7"/>
      <c r="K33" s="30"/>
      <c r="L33" s="25">
        <v>2019</v>
      </c>
      <c r="M33" s="22">
        <v>0.496</v>
      </c>
      <c r="N33" s="22">
        <v>7.0439999999999996</v>
      </c>
      <c r="O33" s="22">
        <v>39.139000000000003</v>
      </c>
      <c r="P33" s="22">
        <v>4.9210000000000003</v>
      </c>
    </row>
    <row r="34" spans="1:16" ht="13.5" x14ac:dyDescent="0.25">
      <c r="A34" s="8"/>
      <c r="B34" s="7"/>
      <c r="C34" s="7"/>
      <c r="D34" s="7"/>
      <c r="E34" s="7"/>
      <c r="F34" s="7"/>
      <c r="G34" s="7"/>
      <c r="H34" s="7"/>
      <c r="I34" s="7"/>
      <c r="J34" s="7"/>
      <c r="K34" s="30"/>
      <c r="L34" s="25">
        <v>2020</v>
      </c>
      <c r="M34" s="22">
        <v>0.46700000000000003</v>
      </c>
      <c r="N34" s="22">
        <v>7.7640000000000002</v>
      </c>
      <c r="O34" s="22">
        <v>32.390999999999998</v>
      </c>
      <c r="P34" s="22">
        <v>7.6609999999999996</v>
      </c>
    </row>
    <row r="35" spans="1:16" ht="13.5" x14ac:dyDescent="0.25">
      <c r="A35" s="8"/>
      <c r="B35" s="7"/>
      <c r="C35" s="7"/>
      <c r="D35" s="7"/>
      <c r="E35" s="7"/>
      <c r="F35" s="7"/>
      <c r="G35" s="7"/>
      <c r="H35" s="7"/>
      <c r="I35" s="7"/>
      <c r="J35" s="7"/>
      <c r="K35" s="30"/>
      <c r="L35" s="25">
        <v>2021</v>
      </c>
      <c r="M35" s="22">
        <v>0.51700000000000002</v>
      </c>
      <c r="N35" s="22">
        <v>12.88</v>
      </c>
      <c r="O35" s="22">
        <v>45.26</v>
      </c>
      <c r="P35" s="22">
        <v>9.4</v>
      </c>
    </row>
    <row r="36" spans="1:16" ht="13.5" x14ac:dyDescent="0.25">
      <c r="A36" s="8"/>
      <c r="B36" s="7"/>
      <c r="C36" s="7"/>
      <c r="D36" s="7"/>
      <c r="E36" s="7"/>
      <c r="F36" s="7"/>
      <c r="G36" s="7"/>
      <c r="H36" s="7"/>
      <c r="I36" s="7"/>
      <c r="J36" s="7"/>
      <c r="K36" s="30"/>
      <c r="L36" s="25"/>
      <c r="M36" s="22"/>
      <c r="N36" s="22"/>
      <c r="O36" s="22"/>
      <c r="P36" s="22"/>
    </row>
    <row r="37" spans="1:16" ht="13.5" x14ac:dyDescent="0.25">
      <c r="A37" s="8"/>
      <c r="B37" s="7"/>
      <c r="C37" s="7"/>
      <c r="D37" s="7"/>
      <c r="E37" s="7"/>
      <c r="F37" s="7"/>
      <c r="G37" s="7"/>
      <c r="H37" s="7"/>
      <c r="I37" s="7"/>
      <c r="J37" s="7"/>
      <c r="K37" s="30"/>
      <c r="L37" s="26"/>
      <c r="M37" s="22"/>
      <c r="N37" s="22"/>
      <c r="O37" s="22"/>
      <c r="P37" s="22"/>
    </row>
    <row r="38" spans="1:16" ht="13.5" x14ac:dyDescent="0.25">
      <c r="A38" s="8"/>
      <c r="B38" s="7"/>
      <c r="C38" s="7"/>
      <c r="D38" s="7"/>
      <c r="E38" s="7"/>
      <c r="F38" s="7"/>
      <c r="G38" s="7"/>
      <c r="H38" s="7"/>
      <c r="I38" s="7"/>
      <c r="J38" s="7"/>
      <c r="K38" s="30"/>
      <c r="L38" s="26"/>
      <c r="M38" s="22"/>
      <c r="N38" s="22"/>
      <c r="O38" s="22"/>
      <c r="P38" s="22"/>
    </row>
    <row r="39" spans="1:16" ht="13.5" x14ac:dyDescent="0.25">
      <c r="A39" s="8"/>
      <c r="B39" s="7"/>
      <c r="C39" s="7"/>
      <c r="D39" s="7"/>
      <c r="E39" s="7"/>
      <c r="F39" s="7"/>
      <c r="G39" s="7"/>
      <c r="H39" s="7"/>
      <c r="I39" s="7"/>
      <c r="J39" s="7"/>
      <c r="K39" s="30"/>
      <c r="L39" s="23"/>
      <c r="M39" s="23"/>
      <c r="N39" s="23"/>
      <c r="O39" s="23"/>
      <c r="P39" s="23"/>
    </row>
    <row r="40" spans="1:16" ht="13.5" x14ac:dyDescent="0.25">
      <c r="A40" s="8"/>
      <c r="B40" s="7"/>
      <c r="C40" s="7"/>
      <c r="D40" s="7"/>
      <c r="E40" s="7"/>
      <c r="F40" s="7"/>
      <c r="G40" s="7"/>
      <c r="H40" s="7"/>
      <c r="I40" s="7"/>
      <c r="J40" s="7"/>
      <c r="K40" s="27"/>
      <c r="L40" s="23"/>
      <c r="M40" s="23"/>
      <c r="N40" s="23"/>
      <c r="O40" s="23"/>
      <c r="P40" s="23"/>
    </row>
    <row r="41" spans="1:16" ht="13.5" x14ac:dyDescent="0.25">
      <c r="A41" s="8"/>
      <c r="B41" s="7"/>
      <c r="C41" s="7"/>
      <c r="D41" s="7"/>
      <c r="E41" s="7"/>
      <c r="F41" s="7"/>
      <c r="G41" s="7"/>
      <c r="H41" s="7"/>
      <c r="I41" s="7"/>
      <c r="J41" s="7"/>
      <c r="K41" s="7" t="s">
        <v>4</v>
      </c>
      <c r="L41" s="10"/>
      <c r="M41" s="10"/>
      <c r="N41" s="10"/>
      <c r="O41" s="10"/>
      <c r="P41" s="10"/>
    </row>
    <row r="42" spans="1:16" ht="13.5" x14ac:dyDescent="0.25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8"/>
      <c r="M42" s="8"/>
      <c r="N42" s="8"/>
      <c r="O42" s="10"/>
      <c r="P42" s="10"/>
    </row>
    <row r="43" spans="1:16" ht="13.5" x14ac:dyDescent="0.25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8"/>
      <c r="M43" s="8"/>
      <c r="N43" s="8"/>
      <c r="O43" s="10"/>
      <c r="P43" s="10"/>
    </row>
    <row r="44" spans="1:16" ht="13.5" x14ac:dyDescent="0.25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8"/>
      <c r="M44" s="8"/>
      <c r="N44" s="8"/>
      <c r="O44" s="10"/>
      <c r="P44" s="10"/>
    </row>
    <row r="45" spans="1:16" ht="6" customHeight="1" x14ac:dyDescent="0.25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8"/>
      <c r="M45" s="8"/>
      <c r="N45" s="8"/>
      <c r="O45" s="10"/>
      <c r="P45" s="10"/>
    </row>
    <row r="49" spans="6:6" ht="12.75" customHeight="1" x14ac:dyDescent="0.2">
      <c r="F49" s="32"/>
    </row>
  </sheetData>
  <mergeCells count="4">
    <mergeCell ref="H5:J5"/>
    <mergeCell ref="D5:F5"/>
    <mergeCell ref="C4:C6"/>
    <mergeCell ref="D4:J4"/>
  </mergeCells>
  <phoneticPr fontId="0" type="noConversion"/>
  <printOptions horizontalCentered="1"/>
  <pageMargins left="0.59055118110236227" right="0.78740157480314965" top="0.78740157480314965" bottom="0" header="0" footer="0"/>
  <pageSetup paperSize="9" orientation="portrait" horizontalDpi="120" verticalDpi="144" r:id="rId1"/>
  <headerFooter alignWithMargins="0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6,13  </vt:lpstr>
      <vt:lpstr>'  6,13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2014-10-03T15:07:35Z</cp:lastPrinted>
  <dcterms:created xsi:type="dcterms:W3CDTF">1999-05-19T15:21:19Z</dcterms:created>
  <dcterms:modified xsi:type="dcterms:W3CDTF">2022-12-02T14:27:20Z</dcterms:modified>
</cp:coreProperties>
</file>