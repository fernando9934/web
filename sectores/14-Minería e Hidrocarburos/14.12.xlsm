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4-Minería e Hidrocarburos\"/>
    </mc:Choice>
  </mc:AlternateContent>
  <bookViews>
    <workbookView xWindow="-285" yWindow="105" windowWidth="10500" windowHeight="11010"/>
  </bookViews>
  <sheets>
    <sheet name="  14,12  " sheetId="7393" r:id="rId1"/>
  </sheets>
  <definedNames>
    <definedName name="\i">#N/A</definedName>
    <definedName name="\p">#REF!</definedName>
    <definedName name="\s">#N/A</definedName>
    <definedName name="\t">#N/A</definedName>
    <definedName name="_Key1" hidden="1">#REF!</definedName>
    <definedName name="_Key2" hidden="1">#REF!</definedName>
    <definedName name="_Order1" hidden="1">0</definedName>
    <definedName name="_Order2" hidden="1">0</definedName>
    <definedName name="_Sort" hidden="1">#REF!</definedName>
    <definedName name="A_impresión_IM">#REF!</definedName>
    <definedName name="_xlnm.Print_Area" localSheetId="0">'  14,12  '!$B$2:$L$51</definedName>
    <definedName name="GAS">#REF!</definedName>
  </definedNames>
  <calcPr calcId="162913"/>
</workbook>
</file>

<file path=xl/calcChain.xml><?xml version="1.0" encoding="utf-8"?>
<calcChain xmlns="http://schemas.openxmlformats.org/spreadsheetml/2006/main">
  <c r="C8" i="7393" l="1"/>
  <c r="C9" i="7393"/>
  <c r="C10" i="7393"/>
  <c r="C11" i="7393"/>
  <c r="C12" i="7393"/>
  <c r="C13" i="7393"/>
  <c r="C14" i="7393"/>
  <c r="C15" i="7393"/>
  <c r="C16" i="7393"/>
  <c r="C17" i="7393"/>
</calcChain>
</file>

<file path=xl/sharedStrings.xml><?xml version="1.0" encoding="utf-8"?>
<sst xmlns="http://schemas.openxmlformats.org/spreadsheetml/2006/main" count="22" uniqueCount="21">
  <si>
    <t xml:space="preserve"> 1/</t>
  </si>
  <si>
    <t xml:space="preserve"> 2/</t>
  </si>
  <si>
    <t>Total</t>
  </si>
  <si>
    <t>Otros</t>
  </si>
  <si>
    <t xml:space="preserve"> </t>
  </si>
  <si>
    <t>Zinc</t>
  </si>
  <si>
    <t>Estaño</t>
  </si>
  <si>
    <t>Plomo</t>
  </si>
  <si>
    <t>Oro</t>
  </si>
  <si>
    <t>Plata</t>
  </si>
  <si>
    <t>Cobre</t>
  </si>
  <si>
    <t>Hierro</t>
  </si>
  <si>
    <t>Año</t>
  </si>
  <si>
    <t>refinada</t>
  </si>
  <si>
    <t>2/ Incluye bismuto y tungsteno, principalmente.</t>
  </si>
  <si>
    <t>Fuente: Banco Central de Reserva del Perú.</t>
  </si>
  <si>
    <t>1/ Incluye contenido de plata.</t>
  </si>
  <si>
    <t>Molib-deno</t>
  </si>
  <si>
    <t xml:space="preserve">   (Millones de US dólares)</t>
  </si>
  <si>
    <t>2021 P/</t>
  </si>
  <si>
    <t>14.12   VALOR DE EXPORTACIÓN FOB, POR PRINCIPALES PRODUCTOS MINEROS, 2012 - 2021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</si>
</sst>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\ ##0.0"/>
    <numFmt numFmtId="165" formatCode="0.0"/>
  </numFmts>
  <fonts count="16" x14ac:knownFonts="1">
    <font>
      <sz val="10"/>
      <name val="Arial"/>
    </font>
    <font>
      <sz val="7"/>
      <name val="Arial Narrow"/>
      <family val="2"/>
    </font>
    <font>
      <b/>
      <sz val="9"/>
      <name val="Arial Narrow"/>
      <family val="2"/>
    </font>
    <font>
      <sz val="10"/>
      <name val="Helv"/>
    </font>
    <font>
      <b/>
      <i/>
      <sz val="9"/>
      <name val="Arial Narrow"/>
      <family val="2"/>
    </font>
    <font>
      <b/>
      <sz val="7"/>
      <name val="Arial Narrow"/>
      <family val="2"/>
    </font>
    <font>
      <sz val="7"/>
      <name val="Times New Roman"/>
      <family val="1"/>
    </font>
    <font>
      <b/>
      <sz val="8"/>
      <name val="Arial Narrow"/>
      <family val="2"/>
    </font>
    <font>
      <sz val="6"/>
      <name val="Arial Narrow"/>
      <family val="2"/>
    </font>
    <font>
      <b/>
      <sz val="6"/>
      <name val="Arial Narrow"/>
      <family val="2"/>
    </font>
    <font>
      <sz val="8"/>
      <name val="Arial Narrow"/>
      <family val="2"/>
    </font>
    <font>
      <i/>
      <sz val="7"/>
      <name val="Arial Narrow"/>
      <family val="2"/>
    </font>
    <font>
      <b/>
      <i/>
      <sz val="7"/>
      <name val="Arial Narrow"/>
      <family val="2"/>
    </font>
    <font>
      <sz val="7"/>
      <color theme="0"/>
      <name val="Arial Narrow"/>
      <family val="2"/>
    </font>
    <font>
      <sz val="10"/>
      <name val="Arial"/>
      <family val="2"/>
    </font>
    <font>
      <sz val="7"/>
      <color rgb="FF0000FF"/>
      <name val="Arial Narrow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5">
    <xf numFmtId="0" fontId="0" fillId="0" borderId="0"/>
    <xf numFmtId="0" fontId="6" fillId="0" borderId="0"/>
    <xf numFmtId="0" fontId="3" fillId="0" borderId="0"/>
    <xf numFmtId="0" fontId="3" fillId="0" borderId="0"/>
    <xf numFmtId="0" fontId="14" fillId="0" borderId="0"/>
  </cellStyleXfs>
  <cellXfs count="41">
    <xf numFmtId="0" fontId="0" fillId="0" borderId="0" xfId="0"/>
    <xf numFmtId="0" fontId="5" fillId="0" borderId="0" xfId="2" applyFont="1" applyBorder="1" applyAlignment="1">
      <alignment horizontal="right" vertical="center"/>
    </xf>
    <xf numFmtId="0" fontId="1" fillId="0" borderId="0" xfId="2" applyFont="1" applyBorder="1" applyAlignment="1">
      <alignment horizontal="right" vertical="center"/>
    </xf>
    <xf numFmtId="0" fontId="8" fillId="0" borderId="0" xfId="2" applyFont="1" applyBorder="1" applyAlignment="1">
      <alignment horizontal="right" vertical="center"/>
    </xf>
    <xf numFmtId="0" fontId="9" fillId="0" borderId="0" xfId="2" applyFont="1" applyBorder="1" applyAlignment="1" applyProtection="1">
      <alignment horizontal="right" vertical="center"/>
    </xf>
    <xf numFmtId="0" fontId="1" fillId="0" borderId="0" xfId="2" applyFont="1" applyBorder="1" applyAlignment="1">
      <alignment horizontal="left" vertical="center"/>
    </xf>
    <xf numFmtId="0" fontId="4" fillId="0" borderId="0" xfId="2" applyFont="1" applyBorder="1" applyAlignment="1" applyProtection="1">
      <alignment horizontal="right" vertical="center"/>
    </xf>
    <xf numFmtId="0" fontId="1" fillId="0" borderId="0" xfId="1" applyFont="1" applyBorder="1" applyAlignment="1">
      <alignment horizontal="right" vertical="center"/>
    </xf>
    <xf numFmtId="0" fontId="1" fillId="0" borderId="0" xfId="2" applyFont="1" applyBorder="1" applyAlignment="1" applyProtection="1">
      <alignment horizontal="right" vertical="center"/>
    </xf>
    <xf numFmtId="0" fontId="4" fillId="0" borderId="0" xfId="2" quotePrefix="1" applyFont="1" applyBorder="1" applyAlignment="1" applyProtection="1">
      <alignment horizontal="right" vertical="center"/>
    </xf>
    <xf numFmtId="49" fontId="1" fillId="0" borderId="0" xfId="2" applyNumberFormat="1" applyFont="1" applyBorder="1" applyAlignment="1" applyProtection="1">
      <alignment horizontal="left" vertical="center"/>
    </xf>
    <xf numFmtId="0" fontId="1" fillId="0" borderId="1" xfId="2" applyFont="1" applyBorder="1" applyAlignment="1">
      <alignment horizontal="right" vertical="center"/>
    </xf>
    <xf numFmtId="0" fontId="2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horizontal="right" vertical="center"/>
    </xf>
    <xf numFmtId="0" fontId="5" fillId="0" borderId="1" xfId="2" applyFont="1" applyBorder="1" applyAlignment="1">
      <alignment horizontal="right" vertical="center"/>
    </xf>
    <xf numFmtId="0" fontId="10" fillId="0" borderId="0" xfId="3" quotePrefix="1" applyFont="1" applyBorder="1" applyAlignment="1" applyProtection="1">
      <alignment horizontal="left" vertical="center" indent="2"/>
    </xf>
    <xf numFmtId="0" fontId="7" fillId="0" borderId="2" xfId="2" applyFont="1" applyBorder="1" applyAlignment="1" applyProtection="1">
      <alignment horizontal="right"/>
    </xf>
    <xf numFmtId="0" fontId="7" fillId="0" borderId="1" xfId="2" applyFont="1" applyBorder="1" applyAlignment="1" applyProtection="1">
      <alignment horizontal="right" vertical="top"/>
    </xf>
    <xf numFmtId="0" fontId="7" fillId="0" borderId="0" xfId="2" applyFont="1" applyBorder="1" applyAlignment="1" applyProtection="1">
      <alignment horizontal="right" vertical="center"/>
    </xf>
    <xf numFmtId="49" fontId="2" fillId="0" borderId="0" xfId="3" applyNumberFormat="1" applyFont="1" applyBorder="1" applyAlignment="1" applyProtection="1">
      <alignment horizontal="left" vertical="center"/>
    </xf>
    <xf numFmtId="0" fontId="11" fillId="0" borderId="0" xfId="2" applyFont="1" applyBorder="1" applyAlignment="1" applyProtection="1">
      <alignment horizontal="right" vertical="center"/>
    </xf>
    <xf numFmtId="0" fontId="5" fillId="0" borderId="0" xfId="2" applyFont="1" applyBorder="1" applyAlignment="1" applyProtection="1">
      <alignment horizontal="left" vertical="center"/>
    </xf>
    <xf numFmtId="0" fontId="12" fillId="0" borderId="0" xfId="2" applyFont="1" applyBorder="1" applyAlignment="1" applyProtection="1">
      <alignment horizontal="right" vertical="center"/>
    </xf>
    <xf numFmtId="0" fontId="7" fillId="0" borderId="4" xfId="2" applyFont="1" applyBorder="1" applyAlignment="1" applyProtection="1">
      <alignment horizontal="center" vertical="center"/>
    </xf>
    <xf numFmtId="0" fontId="10" fillId="0" borderId="4" xfId="2" applyFont="1" applyBorder="1" applyAlignment="1" applyProtection="1">
      <alignment horizontal="left" vertical="center"/>
    </xf>
    <xf numFmtId="0" fontId="1" fillId="0" borderId="5" xfId="2" applyFont="1" applyBorder="1" applyAlignment="1">
      <alignment horizontal="left" vertical="center"/>
    </xf>
    <xf numFmtId="0" fontId="13" fillId="0" borderId="0" xfId="2" applyFont="1" applyBorder="1" applyAlignment="1">
      <alignment horizontal="right" vertical="center"/>
    </xf>
    <xf numFmtId="164" fontId="13" fillId="0" borderId="0" xfId="0" applyNumberFormat="1" applyFont="1" applyBorder="1" applyAlignment="1" applyProtection="1">
      <alignment horizontal="right"/>
    </xf>
    <xf numFmtId="164" fontId="13" fillId="0" borderId="0" xfId="2" applyNumberFormat="1" applyFont="1" applyBorder="1" applyAlignment="1" applyProtection="1">
      <alignment horizontal="right" vertical="center"/>
    </xf>
    <xf numFmtId="0" fontId="15" fillId="0" borderId="0" xfId="2" applyFont="1" applyBorder="1" applyAlignment="1">
      <alignment horizontal="right" vertical="center"/>
    </xf>
    <xf numFmtId="0" fontId="1" fillId="0" borderId="0" xfId="2" applyFont="1" applyBorder="1" applyAlignment="1" applyProtection="1">
      <alignment horizontal="left" vertical="center"/>
    </xf>
    <xf numFmtId="164" fontId="10" fillId="0" borderId="0" xfId="2" applyNumberFormat="1" applyFont="1" applyAlignment="1">
      <alignment horizontal="right" vertical="center"/>
    </xf>
    <xf numFmtId="165" fontId="15" fillId="0" borderId="0" xfId="2" applyNumberFormat="1" applyFont="1" applyBorder="1" applyAlignment="1">
      <alignment horizontal="right" vertical="center"/>
    </xf>
    <xf numFmtId="164" fontId="13" fillId="0" borderId="0" xfId="4" applyNumberFormat="1" applyFont="1" applyAlignment="1">
      <alignment horizontal="right"/>
    </xf>
    <xf numFmtId="164" fontId="13" fillId="0" borderId="0" xfId="2" applyNumberFormat="1" applyFont="1" applyAlignment="1">
      <alignment horizontal="right" vertical="center"/>
    </xf>
    <xf numFmtId="0" fontId="7" fillId="0" borderId="3" xfId="2" applyFont="1" applyBorder="1" applyAlignment="1" applyProtection="1">
      <alignment horizontal="center" vertical="center"/>
    </xf>
    <xf numFmtId="0" fontId="7" fillId="0" borderId="4" xfId="2" applyFont="1" applyBorder="1" applyAlignment="1" applyProtection="1">
      <alignment horizontal="center" vertical="center"/>
    </xf>
    <xf numFmtId="0" fontId="7" fillId="0" borderId="6" xfId="2" applyFont="1" applyBorder="1" applyAlignment="1" applyProtection="1">
      <alignment horizontal="right" vertical="center"/>
    </xf>
    <xf numFmtId="0" fontId="7" fillId="0" borderId="7" xfId="2" applyFont="1" applyBorder="1" applyAlignment="1" applyProtection="1">
      <alignment horizontal="right" vertical="center"/>
    </xf>
    <xf numFmtId="0" fontId="7" fillId="0" borderId="2" xfId="2" applyFont="1" applyBorder="1" applyAlignment="1" applyProtection="1">
      <alignment horizontal="right" vertical="center" wrapText="1"/>
    </xf>
    <xf numFmtId="0" fontId="7" fillId="0" borderId="1" xfId="2" applyFont="1" applyBorder="1" applyAlignment="1" applyProtection="1">
      <alignment horizontal="right" vertical="center" wrapText="1"/>
    </xf>
  </cellXfs>
  <cellStyles count="5">
    <cellStyle name="Normal" xfId="0" builtinId="0"/>
    <cellStyle name="Normal 2" xfId="4"/>
    <cellStyle name="Normal_IEC12001" xfId="1"/>
    <cellStyle name="Normal_IEC12021" xfId="2"/>
    <cellStyle name="Normal_IEC12022" xfId="3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0">
              <a:gsLst>
                <a:gs pos="0">
                  <a:srgbClr val="00CCFF"/>
                </a:gs>
                <a:gs pos="100000">
                  <a:srgbClr val="00CCFF">
                    <a:gamma/>
                    <a:shade val="46275"/>
                    <a:invGamma/>
                  </a:srgbClr>
                </a:gs>
              </a:gsLst>
              <a:path path="rect">
                <a:fillToRect l="100000" b="100000"/>
              </a:path>
            </a:gradFill>
            <a:ln w="25400">
              <a:noFill/>
            </a:ln>
          </c:spPr>
          <c:invertIfNegative val="0"/>
          <c:val>
            <c:numRef>
              <c:f>'  14,10  '!#REF!</c:f>
              <c:numCache>
                <c:formatCode>General</c:formatCode>
                <c:ptCount val="1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>
                      <c:ext uri="{02D57815-91ED-43cb-92C2-25804820EDAC}">
                        <c15:formulaRef>
                          <c15:sqref>'  14,10  '!#REF!</c15:sqref>
                        </c15:formulaRef>
                      </c:ext>
                    </c:extLst>
                    <c:numCache>
                      <c:formatCode>@</c:formatCode>
                      <c:ptCount val="1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C94-49E5-B27F-73A3249E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42719960"/>
        <c:axId val="42721920"/>
      </c:barChart>
      <c:lineChart>
        <c:grouping val="standard"/>
        <c:varyColors val="0"/>
        <c:ser>
          <c:idx val="0"/>
          <c:order val="1"/>
          <c:val>
            <c:numRef>
              <c:f>'  14,10  '!#REF!</c:f>
              <c:numCache>
                <c:formatCode>General</c:formatCode>
                <c:ptCount val="1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>
                      <c:ext uri="{02D57815-91ED-43cb-92C2-25804820EDAC}">
                        <c15:formulaRef>
                          <c15:sqref>'  14,10  '!#REF!</c15:sqref>
                        </c15:formulaRef>
                      </c:ext>
                    </c:extLst>
                    <c:numCache>
                      <c:formatCode>@</c:formatCode>
                      <c:ptCount val="1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CC94-49E5-B27F-73A3249E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8000"/>
        <c:axId val="42722312"/>
      </c:lineChart>
      <c:catAx>
        <c:axId val="42719960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42721920"/>
        <c:crosses val="autoZero"/>
        <c:auto val="0"/>
        <c:lblAlgn val="ctr"/>
        <c:lblOffset val="100"/>
        <c:tickMarkSkip val="1"/>
        <c:noMultiLvlLbl val="0"/>
      </c:catAx>
      <c:valAx>
        <c:axId val="42721920"/>
        <c:scaling>
          <c:orientation val="minMax"/>
          <c:max val="8000"/>
        </c:scaling>
        <c:delete val="0"/>
        <c:axPos val="l"/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42719960"/>
        <c:crosses val="autoZero"/>
        <c:crossBetween val="between"/>
        <c:majorUnit val="2000"/>
        <c:minorUnit val="16"/>
      </c:valAx>
      <c:catAx>
        <c:axId val="42718000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42722312"/>
        <c:crosses val="autoZero"/>
        <c:auto val="0"/>
        <c:lblAlgn val="ctr"/>
        <c:lblOffset val="100"/>
        <c:noMultiLvlLbl val="0"/>
      </c:catAx>
      <c:valAx>
        <c:axId val="42722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27180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33CCCC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latin typeface="Arial Narrow" panose="020B0606020202030204" pitchFamily="34" charset="0"/>
              </a:rPr>
              <a:t>Valor de Exportación de Hierro, 2017 - 2021</a:t>
            </a:r>
          </a:p>
          <a:p>
            <a:pPr>
              <a:defRPr sz="900" b="1"/>
            </a:pPr>
            <a:r>
              <a:rPr lang="en-US" sz="800" b="0">
                <a:latin typeface="Arial Narrow" panose="020B0606020202030204" pitchFamily="34" charset="0"/>
              </a:rPr>
              <a:t>(Millones de US</a:t>
            </a:r>
            <a:r>
              <a:rPr lang="en-US" sz="800" b="0" baseline="0">
                <a:latin typeface="Arial Narrow" panose="020B0606020202030204" pitchFamily="34" charset="0"/>
              </a:rPr>
              <a:t> dólares</a:t>
            </a:r>
            <a:r>
              <a:rPr lang="en-US" sz="900" b="0" baseline="0">
                <a:latin typeface="Arial Narrow" panose="020B0606020202030204" pitchFamily="34" charset="0"/>
              </a:rPr>
              <a:t>)</a:t>
            </a:r>
            <a:endParaRPr lang="en-US" sz="900" b="0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25301877747539259"/>
          <c:y val="3.05518431071476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22725101222812263"/>
          <c:w val="1"/>
          <c:h val="0.596015254182842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14,12  '!$T$24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  14,12  '!$S$33:$S$37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14,12  '!$T$33:$T$37</c:f>
              <c:numCache>
                <c:formatCode>#\ ##0.0</c:formatCode>
                <c:ptCount val="5"/>
                <c:pt idx="0">
                  <c:v>434.37049986164698</c:v>
                </c:pt>
                <c:pt idx="1">
                  <c:v>484.36463219586597</c:v>
                </c:pt>
                <c:pt idx="2">
                  <c:v>978.06279613990216</c:v>
                </c:pt>
                <c:pt idx="3">
                  <c:v>1125.8334764349067</c:v>
                </c:pt>
                <c:pt idx="4">
                  <c:v>2227.5723969701003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4-40C3-B3A4-D398180670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42723488"/>
        <c:axId val="42723880"/>
      </c:barChart>
      <c:catAx>
        <c:axId val="4272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42723880"/>
        <c:crosses val="autoZero"/>
        <c:auto val="1"/>
        <c:lblAlgn val="ctr"/>
        <c:lblOffset val="100"/>
        <c:noMultiLvlLbl val="0"/>
      </c:catAx>
      <c:valAx>
        <c:axId val="42723880"/>
        <c:scaling>
          <c:orientation val="minMax"/>
        </c:scaling>
        <c:delete val="0"/>
        <c:axPos val="l"/>
        <c:numFmt formatCode="#\ ##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42723488"/>
        <c:crosses val="autoZero"/>
        <c:crossBetween val="between"/>
        <c:majorUnit val="50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28</xdr:row>
      <xdr:rowOff>0</xdr:rowOff>
    </xdr:from>
    <xdr:to>
      <xdr:col>10</xdr:col>
      <xdr:colOff>419100</xdr:colOff>
      <xdr:row>28</xdr:row>
      <xdr:rowOff>0</xdr:rowOff>
    </xdr:to>
    <xdr:graphicFrame macro="">
      <xdr:nvGraphicFramePr>
        <xdr:cNvPr id="10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2485</xdr:colOff>
      <xdr:row>3</xdr:row>
      <xdr:rowOff>23398</xdr:rowOff>
    </xdr:from>
    <xdr:to>
      <xdr:col>19</xdr:col>
      <xdr:colOff>267321</xdr:colOff>
      <xdr:row>18</xdr:row>
      <xdr:rowOff>15529</xdr:rowOff>
    </xdr:to>
    <xdr:graphicFrame macro="">
      <xdr:nvGraphicFramePr>
        <xdr:cNvPr id="3" name="grafico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1030</xdr:colOff>
      <xdr:row>0</xdr:row>
      <xdr:rowOff>73626</xdr:rowOff>
    </xdr:from>
    <xdr:to>
      <xdr:col>15</xdr:col>
      <xdr:colOff>76244</xdr:colOff>
      <xdr:row>2</xdr:row>
      <xdr:rowOff>150498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946" y="73626"/>
          <a:ext cx="1240095" cy="49520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514782</xdr:colOff>
      <xdr:row>0</xdr:row>
      <xdr:rowOff>73544</xdr:rowOff>
    </xdr:from>
    <xdr:to>
      <xdr:col>15</xdr:col>
      <xdr:colOff>78736</xdr:colOff>
      <xdr:row>2</xdr:row>
      <xdr:rowOff>152144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4833" y="73544"/>
          <a:ext cx="1243700" cy="496928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0.01691</cdr:x>
      <cdr:y>0.90943</cdr:y>
    </cdr:from>
    <cdr:to>
      <cdr:x>0.78144</cdr:x>
      <cdr:y>0.98528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7854" y="1918333"/>
          <a:ext cx="3067842" cy="159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800" b="1">
              <a:latin typeface="Arial Narrow" panose="020B0606020202030204" pitchFamily="34" charset="0"/>
            </a:rPr>
            <a:t>Fuente: Banco Central de Reserva del Perú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V55"/>
  <sheetViews>
    <sheetView showGridLines="0" showZeros="0" tabSelected="1" zoomScaleNormal="100" workbookViewId="0">
      <selection activeCell="J25" sqref="J25"/>
    </sheetView>
  </sheetViews>
  <sheetFormatPr baseColWidth="10" defaultColWidth="9.7109375" defaultRowHeight="9" x14ac:dyDescent="0.2"/>
  <cols>
    <col min="1" max="1" width="1.7109375" style="2" customWidth="1"/>
    <col min="2" max="2" width="7.42578125" style="5" customWidth="1"/>
    <col min="3" max="14" width="7.7109375" style="2" customWidth="1"/>
    <col min="15" max="16384" width="9.7109375" style="2"/>
  </cols>
  <sheetData>
    <row r="1" spans="2:22" ht="17.25" customHeight="1" x14ac:dyDescent="0.2"/>
    <row r="2" spans="2:22" ht="15.75" customHeight="1" x14ac:dyDescent="0.2">
      <c r="B2" s="19" t="s">
        <v>20</v>
      </c>
      <c r="C2" s="6"/>
      <c r="L2" s="1"/>
      <c r="M2" s="7" t="s">
        <v>4</v>
      </c>
      <c r="P2" s="8"/>
    </row>
    <row r="3" spans="2:22" ht="15.75" customHeight="1" x14ac:dyDescent="0.2">
      <c r="B3" s="15" t="s">
        <v>18</v>
      </c>
      <c r="C3" s="9"/>
      <c r="F3" s="1"/>
      <c r="G3" s="1"/>
      <c r="H3" s="1"/>
      <c r="L3" s="1"/>
      <c r="M3" s="1"/>
    </row>
    <row r="4" spans="2:22" ht="3" customHeight="1" x14ac:dyDescent="0.2">
      <c r="B4" s="12"/>
      <c r="C4" s="13"/>
      <c r="D4" s="11"/>
      <c r="E4" s="11"/>
      <c r="F4" s="14"/>
      <c r="G4" s="14"/>
      <c r="H4" s="14"/>
      <c r="I4" s="11"/>
      <c r="J4" s="11"/>
      <c r="K4" s="11"/>
      <c r="L4" s="14"/>
      <c r="M4" s="1"/>
      <c r="P4" s="8"/>
    </row>
    <row r="5" spans="2:22" ht="12" customHeight="1" x14ac:dyDescent="0.25">
      <c r="B5" s="35" t="s">
        <v>12</v>
      </c>
      <c r="C5" s="37" t="s">
        <v>2</v>
      </c>
      <c r="D5" s="16" t="s">
        <v>10</v>
      </c>
      <c r="E5" s="16" t="s">
        <v>8</v>
      </c>
      <c r="F5" s="16" t="s">
        <v>5</v>
      </c>
      <c r="G5" s="16" t="s">
        <v>7</v>
      </c>
      <c r="H5" s="16" t="s">
        <v>9</v>
      </c>
      <c r="I5" s="16" t="s">
        <v>6</v>
      </c>
      <c r="J5" s="39" t="s">
        <v>17</v>
      </c>
      <c r="K5" s="16" t="s">
        <v>11</v>
      </c>
      <c r="L5" s="16" t="s">
        <v>3</v>
      </c>
      <c r="M5" s="1"/>
    </row>
    <row r="6" spans="2:22" ht="12" customHeight="1" x14ac:dyDescent="0.2">
      <c r="B6" s="36"/>
      <c r="C6" s="38"/>
      <c r="D6" s="17" t="s">
        <v>0</v>
      </c>
      <c r="E6" s="17"/>
      <c r="F6" s="17"/>
      <c r="G6" s="17" t="s">
        <v>0</v>
      </c>
      <c r="H6" s="17" t="s">
        <v>13</v>
      </c>
      <c r="I6" s="17"/>
      <c r="J6" s="40"/>
      <c r="K6" s="17"/>
      <c r="L6" s="17" t="s">
        <v>1</v>
      </c>
      <c r="M6" s="1"/>
      <c r="P6" s="26">
        <v>2</v>
      </c>
    </row>
    <row r="7" spans="2:22" ht="3" customHeight="1" x14ac:dyDescent="0.2">
      <c r="B7" s="23"/>
      <c r="C7" s="18"/>
      <c r="D7" s="18"/>
      <c r="E7" s="18"/>
      <c r="F7" s="18"/>
      <c r="G7" s="18"/>
      <c r="H7" s="18"/>
      <c r="I7" s="18"/>
      <c r="J7" s="18"/>
      <c r="K7" s="18"/>
      <c r="L7" s="18"/>
      <c r="M7" s="1"/>
    </row>
    <row r="8" spans="2:22" ht="14.1" customHeight="1" x14ac:dyDescent="0.2">
      <c r="B8" s="24">
        <v>2012</v>
      </c>
      <c r="C8" s="31">
        <f t="shared" ref="C8:C17" si="0">SUM(D8:L8)</f>
        <v>27466.673089998334</v>
      </c>
      <c r="D8" s="31">
        <v>10730.94221019522</v>
      </c>
      <c r="E8" s="31">
        <v>10745.51575896169</v>
      </c>
      <c r="F8" s="31">
        <v>1352.3374303276262</v>
      </c>
      <c r="G8" s="31">
        <v>2575.3341204307012</v>
      </c>
      <c r="H8" s="31">
        <v>209.569981439488</v>
      </c>
      <c r="I8" s="31">
        <v>558.25923169295606</v>
      </c>
      <c r="J8" s="31">
        <v>428.26749069318203</v>
      </c>
      <c r="K8" s="31">
        <v>844.82847995065708</v>
      </c>
      <c r="L8" s="31">
        <v>21.618386306817914</v>
      </c>
      <c r="M8" s="1"/>
    </row>
    <row r="9" spans="2:22" ht="14.1" customHeight="1" x14ac:dyDescent="0.2">
      <c r="B9" s="24">
        <v>2013</v>
      </c>
      <c r="C9" s="31">
        <f t="shared" si="0"/>
        <v>23789.445431569569</v>
      </c>
      <c r="D9" s="31">
        <v>9820.7478249411997</v>
      </c>
      <c r="E9" s="31">
        <v>8536.2794900494937</v>
      </c>
      <c r="F9" s="31">
        <v>1413.8433889969363</v>
      </c>
      <c r="G9" s="31">
        <v>1776.0595258877431</v>
      </c>
      <c r="H9" s="31">
        <v>479.25180439750096</v>
      </c>
      <c r="I9" s="31">
        <v>527.71237062380033</v>
      </c>
      <c r="J9" s="31">
        <v>355.52074602744045</v>
      </c>
      <c r="K9" s="31">
        <v>856.80847467289607</v>
      </c>
      <c r="L9" s="31">
        <v>23.221805972559665</v>
      </c>
      <c r="M9" s="1"/>
    </row>
    <row r="10" spans="2:22" ht="14.1" customHeight="1" x14ac:dyDescent="0.2">
      <c r="B10" s="24">
        <v>2014</v>
      </c>
      <c r="C10" s="31">
        <f t="shared" si="0"/>
        <v>20545.413916138499</v>
      </c>
      <c r="D10" s="31">
        <v>8874.9060807835231</v>
      </c>
      <c r="E10" s="31">
        <v>6729.072217897402</v>
      </c>
      <c r="F10" s="31">
        <v>1503.547225409749</v>
      </c>
      <c r="G10" s="31">
        <v>1522.513521119711</v>
      </c>
      <c r="H10" s="31">
        <v>331.07695278478701</v>
      </c>
      <c r="I10" s="31">
        <v>539.55820888528183</v>
      </c>
      <c r="J10" s="31">
        <v>360.16193124196138</v>
      </c>
      <c r="K10" s="31">
        <v>646.70480025804579</v>
      </c>
      <c r="L10" s="31">
        <v>37.872977758038743</v>
      </c>
      <c r="M10" s="1"/>
    </row>
    <row r="11" spans="2:22" ht="14.1" customHeight="1" x14ac:dyDescent="0.2">
      <c r="B11" s="24">
        <v>2015</v>
      </c>
      <c r="C11" s="31">
        <f t="shared" si="0"/>
        <v>18950.14001164426</v>
      </c>
      <c r="D11" s="31">
        <v>8167.5413215696453</v>
      </c>
      <c r="E11" s="31">
        <v>6650.5953646963662</v>
      </c>
      <c r="F11" s="31">
        <v>1507.6585313878966</v>
      </c>
      <c r="G11" s="31">
        <v>1548.2696011111263</v>
      </c>
      <c r="H11" s="31">
        <v>137.79635297098301</v>
      </c>
      <c r="I11" s="31">
        <v>341.68532335183227</v>
      </c>
      <c r="J11" s="31">
        <v>219.63469285986613</v>
      </c>
      <c r="K11" s="31">
        <v>350.00259655641497</v>
      </c>
      <c r="L11" s="31">
        <v>26.956227140133979</v>
      </c>
      <c r="M11" s="1"/>
    </row>
    <row r="12" spans="2:22" ht="14.1" customHeight="1" x14ac:dyDescent="0.2">
      <c r="B12" s="24">
        <v>2016</v>
      </c>
      <c r="C12" s="31">
        <f t="shared" si="0"/>
        <v>21819.079289828664</v>
      </c>
      <c r="D12" s="31">
        <v>10170.877328177923</v>
      </c>
      <c r="E12" s="31">
        <v>7425.7115273502486</v>
      </c>
      <c r="F12" s="31">
        <v>1468.7609249862976</v>
      </c>
      <c r="G12" s="31">
        <v>1657.8096258474304</v>
      </c>
      <c r="H12" s="31">
        <v>120.45621156886</v>
      </c>
      <c r="I12" s="31">
        <v>344.26223521111058</v>
      </c>
      <c r="J12" s="31">
        <v>272.67154160154456</v>
      </c>
      <c r="K12" s="31">
        <v>343.53079468679698</v>
      </c>
      <c r="L12" s="31">
        <v>14.999100398455639</v>
      </c>
      <c r="M12" s="1"/>
    </row>
    <row r="13" spans="2:22" ht="14.1" customHeight="1" x14ac:dyDescent="0.2">
      <c r="B13" s="24">
        <v>2017</v>
      </c>
      <c r="C13" s="31">
        <f t="shared" si="0"/>
        <v>27581.607245410356</v>
      </c>
      <c r="D13" s="31">
        <v>13844.958650954813</v>
      </c>
      <c r="E13" s="31">
        <v>8270.4808182538964</v>
      </c>
      <c r="F13" s="31">
        <v>2398.5088575489553</v>
      </c>
      <c r="G13" s="31">
        <v>1726.1331451614039</v>
      </c>
      <c r="H13" s="31">
        <v>118.02914691497099</v>
      </c>
      <c r="I13" s="31">
        <v>370.47611971466921</v>
      </c>
      <c r="J13" s="31">
        <v>367.8568511257717</v>
      </c>
      <c r="K13" s="31">
        <v>434.37049986164698</v>
      </c>
      <c r="L13" s="31">
        <v>50.793155874228319</v>
      </c>
      <c r="M13" s="1"/>
    </row>
    <row r="14" spans="2:22" ht="14.1" customHeight="1" x14ac:dyDescent="0.2">
      <c r="B14" s="24">
        <v>2018</v>
      </c>
      <c r="C14" s="31">
        <f t="shared" si="0"/>
        <v>28898.657866237914</v>
      </c>
      <c r="D14" s="31">
        <v>14938.54527505925</v>
      </c>
      <c r="E14" s="31">
        <v>8258.5140570626972</v>
      </c>
      <c r="F14" s="31">
        <v>2573.9030892868009</v>
      </c>
      <c r="G14" s="31">
        <v>1545.468800568307</v>
      </c>
      <c r="H14" s="31">
        <v>122.68864173304</v>
      </c>
      <c r="I14" s="31">
        <v>351.76617733195485</v>
      </c>
      <c r="J14" s="31">
        <v>612.4952597119152</v>
      </c>
      <c r="K14" s="31">
        <v>484.36463219586608</v>
      </c>
      <c r="L14" s="31">
        <v>10.911933288084873</v>
      </c>
      <c r="M14" s="1"/>
    </row>
    <row r="15" spans="2:22" ht="14.1" customHeight="1" x14ac:dyDescent="0.2">
      <c r="B15" s="24">
        <v>2019</v>
      </c>
      <c r="C15" s="31">
        <f t="shared" si="0"/>
        <v>28336.207651007775</v>
      </c>
      <c r="D15" s="31">
        <v>14000.934230424227</v>
      </c>
      <c r="E15" s="31">
        <v>8555.1157122799905</v>
      </c>
      <c r="F15" s="31">
        <v>2114.0200076680558</v>
      </c>
      <c r="G15" s="31">
        <v>1566.9742659553442</v>
      </c>
      <c r="H15" s="31">
        <v>80.687839499970124</v>
      </c>
      <c r="I15" s="31">
        <v>382.31444230000005</v>
      </c>
      <c r="J15" s="31">
        <v>655.93619109028919</v>
      </c>
      <c r="K15" s="31">
        <v>978.06279613990216</v>
      </c>
      <c r="L15" s="31">
        <v>2.1621656499999999</v>
      </c>
      <c r="M15" s="1"/>
      <c r="N15" s="29"/>
      <c r="O15" s="29"/>
      <c r="P15" s="29"/>
      <c r="Q15" s="29"/>
      <c r="R15" s="29"/>
      <c r="S15" s="29"/>
      <c r="T15" s="29"/>
      <c r="U15" s="29"/>
    </row>
    <row r="16" spans="2:22" ht="14.1" customHeight="1" x14ac:dyDescent="0.2">
      <c r="B16" s="24">
        <v>2020</v>
      </c>
      <c r="C16" s="31">
        <f t="shared" si="0"/>
        <v>26145.983524876836</v>
      </c>
      <c r="D16" s="31">
        <v>13039.152369959113</v>
      </c>
      <c r="E16" s="31">
        <v>7868.3704627699963</v>
      </c>
      <c r="F16" s="31">
        <v>1704.5018173629692</v>
      </c>
      <c r="G16" s="31">
        <v>1460.5637443000019</v>
      </c>
      <c r="H16" s="31">
        <v>93.552143480024753</v>
      </c>
      <c r="I16" s="31">
        <v>370.01559216199973</v>
      </c>
      <c r="J16" s="31">
        <v>478.49304627782891</v>
      </c>
      <c r="K16" s="31">
        <v>1125.8334764349067</v>
      </c>
      <c r="L16" s="31">
        <v>5.5008721299999994</v>
      </c>
      <c r="M16" s="1"/>
      <c r="N16" s="29"/>
      <c r="O16" s="29"/>
      <c r="P16" s="29"/>
      <c r="Q16" s="29"/>
      <c r="R16" s="29"/>
      <c r="S16" s="29"/>
      <c r="T16" s="29"/>
      <c r="U16" s="29"/>
      <c r="V16" s="26"/>
    </row>
    <row r="17" spans="2:22" ht="14.1" customHeight="1" x14ac:dyDescent="0.2">
      <c r="B17" s="24" t="s">
        <v>19</v>
      </c>
      <c r="C17" s="31">
        <f t="shared" si="0"/>
        <v>39680.432741703225</v>
      </c>
      <c r="D17" s="31">
        <v>20697.958039458565</v>
      </c>
      <c r="E17" s="31">
        <v>10120.687553630003</v>
      </c>
      <c r="F17" s="31">
        <v>2625.4079464972883</v>
      </c>
      <c r="G17" s="31">
        <v>1939.5658402154352</v>
      </c>
      <c r="H17" s="31">
        <v>117.02853534004876</v>
      </c>
      <c r="I17" s="31">
        <v>872.54276124300031</v>
      </c>
      <c r="J17" s="31">
        <v>1076.4759261107879</v>
      </c>
      <c r="K17" s="31">
        <v>2227.5723969701003</v>
      </c>
      <c r="L17" s="31">
        <v>3.193742238</v>
      </c>
      <c r="M17" s="1"/>
      <c r="N17" s="29"/>
      <c r="O17" s="29"/>
      <c r="P17" s="29"/>
      <c r="Q17" s="29"/>
      <c r="R17" s="29"/>
      <c r="S17" s="29"/>
      <c r="T17" s="29"/>
      <c r="U17" s="29"/>
    </row>
    <row r="18" spans="2:22" ht="3" customHeight="1" x14ac:dyDescent="0.2">
      <c r="B18" s="25"/>
      <c r="C18" s="11"/>
      <c r="D18" s="11"/>
      <c r="E18" s="11"/>
      <c r="F18" s="11"/>
      <c r="G18" s="11"/>
      <c r="H18" s="11"/>
      <c r="I18" s="11"/>
      <c r="J18" s="11"/>
      <c r="K18" s="11"/>
      <c r="L18" s="11"/>
      <c r="N18" s="29"/>
      <c r="O18" s="29"/>
      <c r="P18" s="29"/>
      <c r="Q18" s="29"/>
      <c r="R18" s="29"/>
      <c r="S18" s="29"/>
      <c r="T18" s="29"/>
      <c r="U18" s="29"/>
      <c r="V18" s="26"/>
    </row>
    <row r="19" spans="2:22" ht="11.25" customHeight="1" x14ac:dyDescent="0.2">
      <c r="B19" s="30" t="s">
        <v>16</v>
      </c>
      <c r="C19" s="20"/>
      <c r="D19" s="3"/>
      <c r="E19" s="3"/>
      <c r="F19" s="3"/>
      <c r="G19" s="3"/>
      <c r="H19" s="3"/>
      <c r="I19" s="3"/>
      <c r="J19" s="3"/>
      <c r="K19" s="3"/>
      <c r="N19" s="29"/>
      <c r="O19" s="29"/>
      <c r="P19" s="29"/>
      <c r="Q19" s="29"/>
      <c r="R19" s="29"/>
      <c r="S19" s="29"/>
      <c r="T19" s="29"/>
      <c r="U19" s="29"/>
      <c r="V19" s="26"/>
    </row>
    <row r="20" spans="2:22" ht="11.25" customHeight="1" x14ac:dyDescent="0.2">
      <c r="B20" s="10" t="s">
        <v>14</v>
      </c>
      <c r="C20" s="20"/>
      <c r="D20" s="3"/>
      <c r="E20" s="3"/>
      <c r="F20" s="3"/>
      <c r="G20" s="3"/>
      <c r="H20" s="3"/>
      <c r="I20" s="3"/>
      <c r="J20" s="3"/>
      <c r="K20" s="3"/>
      <c r="N20" s="29"/>
      <c r="O20" s="29"/>
      <c r="P20" s="29"/>
      <c r="Q20" s="29"/>
      <c r="R20" s="29"/>
      <c r="S20" s="29"/>
      <c r="T20" s="29"/>
      <c r="U20" s="29"/>
      <c r="V20" s="26"/>
    </row>
    <row r="21" spans="2:22" ht="11.25" customHeight="1" x14ac:dyDescent="0.2">
      <c r="B21" s="21" t="s">
        <v>15</v>
      </c>
      <c r="C21" s="20"/>
      <c r="D21" s="3"/>
      <c r="E21" s="3"/>
      <c r="F21" s="3"/>
      <c r="G21" s="3"/>
      <c r="H21" s="3"/>
      <c r="I21" s="3"/>
      <c r="J21" s="3"/>
      <c r="K21" s="3"/>
      <c r="N21" s="29"/>
      <c r="O21" s="29"/>
      <c r="P21" s="29"/>
      <c r="Q21" s="29"/>
      <c r="R21" s="29"/>
      <c r="S21" s="29"/>
      <c r="T21" s="29"/>
      <c r="U21" s="29"/>
      <c r="V21" s="26"/>
    </row>
    <row r="22" spans="2:22" ht="11.25" customHeight="1" x14ac:dyDescent="0.2">
      <c r="B22" s="10"/>
      <c r="C22" s="20"/>
      <c r="D22" s="3"/>
      <c r="E22" s="3"/>
      <c r="F22" s="3"/>
      <c r="G22" s="3"/>
      <c r="H22" s="3"/>
      <c r="I22" s="3"/>
      <c r="J22" s="3"/>
      <c r="K22" s="3"/>
      <c r="N22" s="29"/>
      <c r="O22" s="29"/>
      <c r="P22" s="29"/>
      <c r="Q22" s="29"/>
      <c r="R22" s="29"/>
      <c r="S22" s="29"/>
      <c r="T22" s="29"/>
      <c r="U22" s="29"/>
      <c r="V22" s="26"/>
    </row>
    <row r="23" spans="2:22" ht="11.25" customHeight="1" x14ac:dyDescent="0.2">
      <c r="B23" s="10"/>
      <c r="C23" s="20"/>
      <c r="D23" s="3"/>
      <c r="E23" s="3"/>
      <c r="F23" s="3"/>
      <c r="G23" s="3"/>
      <c r="H23" s="3"/>
      <c r="I23" s="3"/>
      <c r="J23" s="3"/>
      <c r="K23" s="3"/>
      <c r="N23" s="29"/>
      <c r="O23" s="29"/>
      <c r="P23" s="29"/>
      <c r="Q23" s="29"/>
      <c r="R23" s="29"/>
      <c r="S23" s="29"/>
      <c r="T23" s="29"/>
      <c r="U23" s="29"/>
      <c r="V23" s="26"/>
    </row>
    <row r="24" spans="2:22" ht="11.25" customHeight="1" x14ac:dyDescent="0.2">
      <c r="B24" s="21"/>
      <c r="C24" s="22"/>
      <c r="D24" s="4"/>
      <c r="E24" s="4"/>
      <c r="F24" s="4"/>
      <c r="G24" s="4"/>
      <c r="H24" s="4"/>
      <c r="I24" s="4"/>
      <c r="J24" s="4"/>
      <c r="K24" s="4"/>
      <c r="L24" s="1"/>
      <c r="M24" s="1"/>
      <c r="N24" s="29"/>
      <c r="O24" s="29"/>
      <c r="P24" s="29"/>
      <c r="Q24" s="29"/>
      <c r="R24" s="29"/>
      <c r="S24" s="29"/>
      <c r="T24" s="29"/>
      <c r="U24" s="29"/>
      <c r="V24" s="26"/>
    </row>
    <row r="25" spans="2:22" ht="11.25" customHeight="1" x14ac:dyDescent="0.2">
      <c r="B25" s="21"/>
      <c r="C25" s="22"/>
      <c r="D25" s="4"/>
      <c r="E25" s="4"/>
      <c r="F25" s="4"/>
      <c r="G25" s="4"/>
      <c r="H25" s="4"/>
      <c r="I25" s="4"/>
      <c r="J25" s="4"/>
      <c r="K25" s="4"/>
      <c r="L25" s="1"/>
      <c r="M25" s="1"/>
      <c r="N25" s="29"/>
      <c r="O25" s="29"/>
      <c r="P25" s="29"/>
      <c r="Q25" s="29"/>
      <c r="R25" s="29"/>
      <c r="S25" s="29"/>
      <c r="T25" s="29"/>
      <c r="U25" s="29"/>
      <c r="V25" s="26"/>
    </row>
    <row r="26" spans="2:22" ht="11.25" customHeight="1" x14ac:dyDescent="0.2">
      <c r="B26" s="21"/>
      <c r="C26" s="22"/>
      <c r="D26" s="4"/>
      <c r="E26" s="4"/>
      <c r="F26" s="4"/>
      <c r="G26" s="4"/>
      <c r="H26" s="4"/>
      <c r="I26" s="4"/>
      <c r="J26" s="4"/>
      <c r="K26" s="4"/>
      <c r="L26" s="1"/>
      <c r="M26" s="1"/>
      <c r="N26" s="29"/>
      <c r="O26" s="29"/>
      <c r="P26" s="29"/>
      <c r="Q26" s="29"/>
      <c r="R26" s="29"/>
      <c r="S26" s="29"/>
      <c r="T26" s="29"/>
      <c r="U26" s="29"/>
      <c r="V26" s="26"/>
    </row>
    <row r="27" spans="2:22" ht="11.25" customHeight="1" x14ac:dyDescent="0.2">
      <c r="B27" s="21"/>
      <c r="C27" s="22"/>
      <c r="D27" s="4"/>
      <c r="E27" s="4"/>
      <c r="F27" s="4"/>
      <c r="G27" s="4"/>
      <c r="H27" s="4"/>
      <c r="I27" s="4"/>
      <c r="J27" s="4"/>
      <c r="K27" s="4"/>
      <c r="L27" s="1"/>
      <c r="M27" s="1"/>
      <c r="N27" s="29"/>
      <c r="O27" s="29"/>
      <c r="P27" s="29"/>
      <c r="Q27" s="29"/>
      <c r="R27" s="29"/>
      <c r="S27" s="29"/>
      <c r="T27" s="29"/>
      <c r="U27" s="29"/>
      <c r="V27" s="26"/>
    </row>
    <row r="28" spans="2:22" ht="11.25" customHeight="1" x14ac:dyDescent="0.2">
      <c r="B28" s="21"/>
      <c r="C28" s="22"/>
      <c r="D28" s="4"/>
      <c r="E28" s="4"/>
      <c r="F28" s="4"/>
      <c r="G28" s="4"/>
      <c r="H28" s="4"/>
      <c r="I28" s="4"/>
      <c r="J28" s="4"/>
      <c r="K28" s="4"/>
      <c r="L28" s="1"/>
      <c r="M28" s="1"/>
      <c r="N28" s="29"/>
      <c r="O28" s="29"/>
      <c r="P28" s="29"/>
      <c r="Q28" s="29"/>
      <c r="R28" s="29"/>
      <c r="S28" s="29"/>
      <c r="T28" s="29"/>
      <c r="U28" s="29"/>
      <c r="V28" s="26"/>
    </row>
    <row r="29" spans="2:22" ht="6.75" customHeight="1" x14ac:dyDescent="0.2">
      <c r="N29" s="29"/>
      <c r="O29" s="29"/>
      <c r="U29" s="32"/>
      <c r="V29" s="26"/>
    </row>
    <row r="30" spans="2:22" ht="7.5" customHeight="1" x14ac:dyDescent="0.2">
      <c r="N30" s="29"/>
      <c r="O30" s="29"/>
      <c r="U30" s="29"/>
      <c r="V30" s="26"/>
    </row>
    <row r="31" spans="2:22" x14ac:dyDescent="0.2">
      <c r="N31" s="29"/>
      <c r="O31" s="29"/>
      <c r="P31" s="26"/>
      <c r="Q31" s="26"/>
      <c r="R31" s="26"/>
      <c r="S31" s="26"/>
      <c r="T31" s="26"/>
      <c r="U31" s="26"/>
      <c r="V31" s="26"/>
    </row>
    <row r="32" spans="2:22" x14ac:dyDescent="0.2">
      <c r="N32" s="29"/>
      <c r="O32" s="29"/>
      <c r="P32" s="26"/>
      <c r="Q32" s="26"/>
      <c r="R32" s="26"/>
      <c r="S32" s="26"/>
      <c r="T32" s="26"/>
      <c r="U32" s="26"/>
      <c r="V32" s="26"/>
    </row>
    <row r="33" spans="14:22" x14ac:dyDescent="0.15">
      <c r="N33" s="29"/>
      <c r="O33" s="29"/>
      <c r="P33" s="26">
        <v>2017</v>
      </c>
      <c r="Q33" s="27">
        <v>11.692758999999999</v>
      </c>
      <c r="R33" s="26"/>
      <c r="S33" s="26">
        <v>2017</v>
      </c>
      <c r="T33" s="28">
        <v>434.37049986164698</v>
      </c>
      <c r="U33" s="26"/>
      <c r="V33" s="26"/>
    </row>
    <row r="34" spans="14:22" x14ac:dyDescent="0.15">
      <c r="N34" s="29"/>
      <c r="O34" s="29"/>
      <c r="P34" s="26">
        <v>2018</v>
      </c>
      <c r="Q34" s="27">
        <v>14.680347999999999</v>
      </c>
      <c r="R34" s="26"/>
      <c r="S34" s="26">
        <v>2018</v>
      </c>
      <c r="T34" s="28">
        <v>484.36463219586597</v>
      </c>
      <c r="U34" s="26"/>
      <c r="V34" s="26"/>
    </row>
    <row r="35" spans="14:22" x14ac:dyDescent="0.15">
      <c r="N35" s="29"/>
      <c r="O35" s="29"/>
      <c r="P35" s="26">
        <v>2019</v>
      </c>
      <c r="Q35" s="33">
        <v>15.748065453363001</v>
      </c>
      <c r="R35" s="26"/>
      <c r="S35" s="26">
        <v>2019</v>
      </c>
      <c r="T35" s="34">
        <v>978.06279613990216</v>
      </c>
      <c r="U35" s="26"/>
      <c r="V35" s="26"/>
    </row>
    <row r="36" spans="14:22" x14ac:dyDescent="0.15">
      <c r="N36" s="29"/>
      <c r="O36" s="29"/>
      <c r="P36" s="26">
        <v>2020</v>
      </c>
      <c r="Q36" s="33">
        <v>14.109335084129</v>
      </c>
      <c r="R36" s="26"/>
      <c r="S36" s="26">
        <v>2020</v>
      </c>
      <c r="T36" s="34">
        <v>1125.8334764349067</v>
      </c>
      <c r="U36" s="26"/>
      <c r="V36" s="26"/>
    </row>
    <row r="37" spans="14:22" x14ac:dyDescent="0.15">
      <c r="N37" s="29"/>
      <c r="O37" s="29"/>
      <c r="P37" s="26">
        <v>2021</v>
      </c>
      <c r="Q37" s="33">
        <v>17.812878940299999</v>
      </c>
      <c r="R37" s="26"/>
      <c r="S37" s="26">
        <v>2021</v>
      </c>
      <c r="T37" s="34">
        <v>2227.5723969701003</v>
      </c>
      <c r="U37" s="26"/>
      <c r="V37" s="26"/>
    </row>
    <row r="38" spans="14:22" x14ac:dyDescent="0.2">
      <c r="N38" s="29"/>
      <c r="O38" s="29"/>
      <c r="P38" s="26"/>
      <c r="Q38" s="26"/>
      <c r="R38" s="26"/>
      <c r="S38" s="26"/>
      <c r="T38" s="26"/>
      <c r="U38" s="26"/>
      <c r="V38" s="26"/>
    </row>
    <row r="39" spans="14:22" x14ac:dyDescent="0.2">
      <c r="N39" s="29"/>
      <c r="O39" s="29"/>
      <c r="P39" s="26"/>
      <c r="Q39" s="26"/>
      <c r="R39" s="26"/>
      <c r="S39" s="26"/>
      <c r="T39" s="26"/>
      <c r="U39" s="26"/>
      <c r="V39" s="26"/>
    </row>
    <row r="40" spans="14:22" x14ac:dyDescent="0.2">
      <c r="N40" s="29"/>
      <c r="O40" s="29"/>
      <c r="P40" s="29"/>
      <c r="Q40" s="29"/>
      <c r="R40" s="29"/>
      <c r="S40" s="29"/>
      <c r="T40" s="29"/>
      <c r="U40" s="29"/>
      <c r="V40" s="26"/>
    </row>
    <row r="41" spans="14:22" x14ac:dyDescent="0.2">
      <c r="N41" s="29"/>
      <c r="O41" s="29"/>
      <c r="P41" s="29"/>
      <c r="Q41" s="29"/>
      <c r="R41" s="29"/>
      <c r="S41" s="29"/>
      <c r="T41" s="29"/>
      <c r="U41" s="29"/>
      <c r="V41" s="26"/>
    </row>
    <row r="42" spans="14:22" x14ac:dyDescent="0.2">
      <c r="N42" s="29"/>
      <c r="O42" s="29"/>
      <c r="P42" s="29"/>
      <c r="Q42" s="29"/>
      <c r="R42" s="29"/>
      <c r="S42" s="29"/>
      <c r="T42" s="29"/>
      <c r="U42" s="29"/>
    </row>
    <row r="43" spans="14:22" x14ac:dyDescent="0.2">
      <c r="N43" s="29"/>
      <c r="O43" s="29"/>
      <c r="P43" s="29"/>
      <c r="Q43" s="29"/>
      <c r="R43" s="29"/>
      <c r="S43" s="29"/>
      <c r="T43" s="29"/>
      <c r="U43" s="29"/>
    </row>
    <row r="44" spans="14:22" x14ac:dyDescent="0.2">
      <c r="N44" s="29"/>
      <c r="O44" s="29"/>
      <c r="P44" s="29"/>
      <c r="Q44" s="29"/>
      <c r="R44" s="29"/>
      <c r="S44" s="29"/>
      <c r="T44" s="29"/>
      <c r="U44" s="29"/>
    </row>
    <row r="45" spans="14:22" x14ac:dyDescent="0.2">
      <c r="N45" s="29"/>
      <c r="O45" s="29"/>
      <c r="P45" s="29"/>
      <c r="Q45" s="29"/>
      <c r="R45" s="29"/>
      <c r="S45" s="29"/>
      <c r="T45" s="29"/>
      <c r="U45" s="29"/>
    </row>
    <row r="46" spans="14:22" x14ac:dyDescent="0.2">
      <c r="N46" s="29"/>
      <c r="O46" s="29"/>
      <c r="P46" s="29"/>
      <c r="Q46" s="29"/>
      <c r="R46" s="29"/>
      <c r="S46" s="29"/>
      <c r="T46" s="29"/>
      <c r="U46" s="29"/>
    </row>
    <row r="47" spans="14:22" x14ac:dyDescent="0.2">
      <c r="N47" s="29"/>
      <c r="O47" s="29"/>
      <c r="P47" s="29"/>
      <c r="Q47" s="29"/>
      <c r="R47" s="29"/>
      <c r="S47" s="29"/>
      <c r="T47" s="29"/>
      <c r="U47" s="29"/>
    </row>
    <row r="48" spans="14:22" x14ac:dyDescent="0.2">
      <c r="N48" s="29"/>
      <c r="O48" s="29"/>
      <c r="P48" s="29"/>
      <c r="Q48" s="29"/>
      <c r="R48" s="29"/>
      <c r="S48" s="29"/>
      <c r="T48" s="29"/>
      <c r="U48" s="29"/>
    </row>
    <row r="49" spans="14:21" x14ac:dyDescent="0.2">
      <c r="N49" s="29"/>
      <c r="O49" s="29"/>
      <c r="P49" s="29"/>
      <c r="Q49" s="29"/>
      <c r="R49" s="29"/>
      <c r="S49" s="29"/>
      <c r="T49" s="29"/>
      <c r="U49" s="29"/>
    </row>
    <row r="50" spans="14:21" x14ac:dyDescent="0.2">
      <c r="N50" s="29"/>
      <c r="O50" s="29"/>
      <c r="P50" s="29"/>
      <c r="Q50" s="29"/>
      <c r="R50" s="29"/>
      <c r="S50" s="29"/>
      <c r="T50" s="29"/>
      <c r="U50" s="29"/>
    </row>
    <row r="51" spans="14:21" x14ac:dyDescent="0.2">
      <c r="N51" s="29"/>
      <c r="O51" s="29"/>
      <c r="P51" s="29"/>
      <c r="Q51" s="29"/>
      <c r="R51" s="29"/>
      <c r="S51" s="29"/>
      <c r="T51" s="29"/>
      <c r="U51" s="29"/>
    </row>
    <row r="52" spans="14:21" x14ac:dyDescent="0.2">
      <c r="N52" s="29"/>
      <c r="O52" s="29"/>
      <c r="P52" s="29"/>
      <c r="Q52" s="29"/>
      <c r="R52" s="29"/>
      <c r="S52" s="29"/>
      <c r="T52" s="29"/>
      <c r="U52" s="29"/>
    </row>
    <row r="53" spans="14:21" x14ac:dyDescent="0.2">
      <c r="N53" s="29"/>
      <c r="O53" s="29"/>
      <c r="P53" s="29"/>
      <c r="Q53" s="29"/>
      <c r="R53" s="29"/>
      <c r="S53" s="29"/>
      <c r="T53" s="29"/>
      <c r="U53" s="29"/>
    </row>
    <row r="54" spans="14:21" x14ac:dyDescent="0.2">
      <c r="N54" s="29"/>
      <c r="O54" s="29"/>
      <c r="P54" s="29"/>
      <c r="Q54" s="29"/>
      <c r="R54" s="29"/>
      <c r="S54" s="29"/>
      <c r="T54" s="29"/>
      <c r="U54" s="29"/>
    </row>
    <row r="55" spans="14:21" x14ac:dyDescent="0.2">
      <c r="N55" s="29"/>
      <c r="O55" s="29"/>
      <c r="P55" s="29"/>
      <c r="Q55" s="29"/>
      <c r="R55" s="29"/>
      <c r="S55" s="29"/>
      <c r="T55" s="29"/>
      <c r="U55" s="29"/>
    </row>
  </sheetData>
  <mergeCells count="3">
    <mergeCell ref="B5:B6"/>
    <mergeCell ref="C5:C6"/>
    <mergeCell ref="J5:J6"/>
  </mergeCells>
  <phoneticPr fontId="0" type="noConversion"/>
  <pageMargins left="1.9685039370078741" right="1.9685039370078741" top="3.7401574803149606" bottom="2.9527559055118111" header="0" footer="0"/>
  <pageSetup paperSize="9" scale="6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14,12  </vt:lpstr>
      <vt:lpstr>'  14,12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2015-05-18T20:02:00Z</cp:lastPrinted>
  <dcterms:created xsi:type="dcterms:W3CDTF">2003-11-20T21:27:13Z</dcterms:created>
  <dcterms:modified xsi:type="dcterms:W3CDTF">2022-12-22T16:57:04Z</dcterms:modified>
</cp:coreProperties>
</file>