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24-Finanzas Públicas\"/>
    </mc:Choice>
  </mc:AlternateContent>
  <bookViews>
    <workbookView xWindow="-345" yWindow="-150" windowWidth="9525" windowHeight="10170"/>
  </bookViews>
  <sheets>
    <sheet name="  24,4  " sheetId="1" r:id="rId1"/>
  </sheets>
  <definedNames>
    <definedName name="_xlnm.Print_Area" localSheetId="0">'  24,4  '!$B$2:$F$50</definedName>
  </definedNames>
  <calcPr calcId="162913"/>
</workbook>
</file>

<file path=xl/calcChain.xml><?xml version="1.0" encoding="utf-8"?>
<calcChain xmlns="http://schemas.openxmlformats.org/spreadsheetml/2006/main">
  <c r="F19" i="1" l="1"/>
  <c r="F18" i="1"/>
  <c r="F17" i="1"/>
  <c r="F16" i="1"/>
  <c r="F15" i="1"/>
  <c r="F14" i="1"/>
  <c r="F13" i="1"/>
  <c r="F12" i="1"/>
  <c r="F11" i="1"/>
  <c r="F10" i="1"/>
  <c r="F9" i="1"/>
  <c r="F8" i="1"/>
  <c r="F20" i="1" l="1"/>
</calcChain>
</file>

<file path=xl/sharedStrings.xml><?xml version="1.0" encoding="utf-8"?>
<sst xmlns="http://schemas.openxmlformats.org/spreadsheetml/2006/main" count="15" uniqueCount="14">
  <si>
    <t>Año</t>
  </si>
  <si>
    <t>País</t>
  </si>
  <si>
    <t>Departamento</t>
  </si>
  <si>
    <t>Ica</t>
  </si>
  <si>
    <t>Resto</t>
  </si>
  <si>
    <t>Fuente: Superintendencia Nacional de Aduanas y  de Administración Tributaria - SUNAT</t>
  </si>
  <si>
    <t xml:space="preserve">         (Miles de soles)</t>
  </si>
  <si>
    <t>2018 P/</t>
  </si>
  <si>
    <t>2019 P/</t>
  </si>
  <si>
    <t>X 29.2601% = 98049.132095</t>
  </si>
  <si>
    <t>2020 P/</t>
  </si>
  <si>
    <t>2022 (Acumulado a junio)</t>
  </si>
  <si>
    <t xml:space="preserve">24.4  ICA: TRIBUTOS ADUANEROS RECAUDADOS EN EL PAÍS Y EN EL DEPARTAMENTO DE ICA, 2010 - 2022 </t>
  </si>
  <si>
    <t>2022                          Ene-Jun.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</si>
</sst>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\ ###\ ###"/>
    <numFmt numFmtId="165" formatCode="#,##0.00000000000;\-#,##0.00000000000"/>
    <numFmt numFmtId="166" formatCode="#,##0.0000000000_ ;\-#,##0.0000000000\ ;_*&quot;-.-&quot;"/>
    <numFmt numFmtId="167" formatCode="#,##0.00000000000_ ;\-#,##0.00000000000\ ;_*&quot;-.-&quot;"/>
    <numFmt numFmtId="168" formatCode="#,##0.0000000000000_ ;\-#,##0.0000000000000\ ;_*&quot;-.-&quot;"/>
    <numFmt numFmtId="169" formatCode="###\ ###"/>
  </numFmts>
  <fonts count="12" x14ac:knownFonts="1">
    <font>
      <sz val="10"/>
      <name val="Arial"/>
    </font>
    <font>
      <sz val="8"/>
      <name val="Arial"/>
      <family val="2"/>
    </font>
    <font>
      <sz val="10"/>
      <name val="Courier"/>
      <family val="3"/>
    </font>
    <font>
      <sz val="10"/>
      <name val="Helv"/>
    </font>
    <font>
      <b/>
      <sz val="8"/>
      <name val="Arial Narrow"/>
      <family val="2"/>
    </font>
    <font>
      <b/>
      <sz val="9"/>
      <name val="Arial Narrow"/>
      <family val="2"/>
    </font>
    <font>
      <b/>
      <sz val="7"/>
      <name val="Arial Narrow"/>
      <family val="2"/>
    </font>
    <font>
      <sz val="8"/>
      <name val="Arial Narrow"/>
      <family val="2"/>
    </font>
    <font>
      <sz val="8"/>
      <color theme="0"/>
      <name val="Arial Narrow"/>
      <family val="2"/>
    </font>
    <font>
      <sz val="8"/>
      <color rgb="FF0000FF"/>
      <name val="Arial Narrow"/>
      <family val="2"/>
    </font>
    <font>
      <u/>
      <sz val="10"/>
      <name val="Arial"/>
      <family val="2"/>
    </font>
    <font>
      <sz val="10"/>
      <color theme="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" fontId="3" fillId="0" borderId="0" applyFont="0" applyFill="0" applyBorder="0" applyAlignment="0" applyProtection="0"/>
    <xf numFmtId="0" fontId="1" fillId="0" borderId="0"/>
    <xf numFmtId="39" fontId="2" fillId="0" borderId="0"/>
  </cellStyleXfs>
  <cellXfs count="49">
    <xf numFmtId="0" fontId="0" fillId="0" borderId="0" xfId="0"/>
    <xf numFmtId="0" fontId="4" fillId="0" borderId="0" xfId="0" applyFont="1" applyAlignment="1">
      <alignment horizontal="left"/>
    </xf>
    <xf numFmtId="0" fontId="6" fillId="0" borderId="0" xfId="0" applyFont="1"/>
    <xf numFmtId="167" fontId="7" fillId="0" borderId="0" xfId="2" applyNumberFormat="1" applyFont="1" applyAlignment="1">
      <alignment horizontal="right" vertical="justify"/>
    </xf>
    <xf numFmtId="166" fontId="7" fillId="0" borderId="0" xfId="2" applyNumberFormat="1" applyFont="1" applyAlignment="1">
      <alignment horizontal="right" vertical="justify"/>
    </xf>
    <xf numFmtId="0" fontId="7" fillId="0" borderId="0" xfId="0" applyFont="1"/>
    <xf numFmtId="164" fontId="7" fillId="0" borderId="0" xfId="0" applyNumberFormat="1" applyFont="1" applyAlignment="1">
      <alignment horizontal="right"/>
    </xf>
    <xf numFmtId="164" fontId="7" fillId="0" borderId="0" xfId="2" applyNumberFormat="1" applyFont="1" applyAlignment="1">
      <alignment horizontal="right" vertical="justify"/>
    </xf>
    <xf numFmtId="0" fontId="4" fillId="0" borderId="0" xfId="0" applyFont="1" applyBorder="1" applyAlignment="1">
      <alignment horizontal="left"/>
    </xf>
    <xf numFmtId="0" fontId="7" fillId="0" borderId="1" xfId="0" applyFont="1" applyBorder="1"/>
    <xf numFmtId="0" fontId="4" fillId="0" borderId="0" xfId="0" applyFont="1"/>
    <xf numFmtId="0" fontId="7" fillId="0" borderId="0" xfId="0" applyFont="1" applyAlignment="1">
      <alignment horizontal="center" wrapText="1"/>
    </xf>
    <xf numFmtId="165" fontId="4" fillId="0" borderId="0" xfId="1" applyNumberFormat="1" applyFont="1" applyFill="1" applyBorder="1" applyAlignment="1" applyProtection="1">
      <alignment horizontal="right"/>
    </xf>
    <xf numFmtId="168" fontId="7" fillId="0" borderId="0" xfId="0" applyNumberFormat="1" applyFont="1"/>
    <xf numFmtId="164" fontId="7" fillId="0" borderId="0" xfId="3" applyNumberFormat="1" applyFont="1" applyBorder="1" applyAlignment="1" applyProtection="1">
      <alignment horizontal="right"/>
    </xf>
    <xf numFmtId="168" fontId="7" fillId="0" borderId="0" xfId="3" applyNumberFormat="1" applyFont="1" applyFill="1" applyBorder="1" applyAlignment="1">
      <alignment horizontal="right"/>
    </xf>
    <xf numFmtId="168" fontId="7" fillId="0" borderId="0" xfId="3" applyNumberFormat="1" applyFont="1" applyBorder="1" applyAlignment="1" applyProtection="1">
      <alignment horizontal="right"/>
    </xf>
    <xf numFmtId="168" fontId="7" fillId="0" borderId="0" xfId="0" applyNumberFormat="1" applyFont="1" applyAlignment="1">
      <alignment horizontal="right"/>
    </xf>
    <xf numFmtId="168" fontId="7" fillId="0" borderId="0" xfId="0" applyNumberFormat="1" applyFont="1" applyAlignment="1">
      <alignment horizontal="right" vertical="justify"/>
    </xf>
    <xf numFmtId="164" fontId="7" fillId="0" borderId="0" xfId="1" applyNumberFormat="1" applyFont="1" applyFill="1" applyBorder="1" applyAlignment="1" applyProtection="1">
      <alignment horizontal="right"/>
    </xf>
    <xf numFmtId="168" fontId="7" fillId="0" borderId="0" xfId="2" applyNumberFormat="1" applyFont="1" applyAlignment="1">
      <alignment horizontal="right" vertical="justify"/>
    </xf>
    <xf numFmtId="0" fontId="7" fillId="0" borderId="0" xfId="0" applyFont="1" applyBorder="1" applyAlignment="1">
      <alignment horizontal="left"/>
    </xf>
    <xf numFmtId="0" fontId="8" fillId="0" borderId="0" xfId="0" applyFont="1"/>
    <xf numFmtId="0" fontId="7" fillId="0" borderId="0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6" xfId="0" applyFont="1" applyBorder="1" applyAlignment="1">
      <alignment horizontal="left" wrapText="1"/>
    </xf>
    <xf numFmtId="0" fontId="7" fillId="0" borderId="5" xfId="0" applyFont="1" applyBorder="1"/>
    <xf numFmtId="0" fontId="4" fillId="0" borderId="7" xfId="0" applyFont="1" applyBorder="1" applyAlignment="1">
      <alignment horizontal="right"/>
    </xf>
    <xf numFmtId="0" fontId="4" fillId="0" borderId="1" xfId="0" applyFont="1" applyBorder="1" applyAlignment="1">
      <alignment horizontal="right" vertical="top"/>
    </xf>
    <xf numFmtId="164" fontId="7" fillId="0" borderId="0" xfId="3" applyNumberFormat="1" applyFont="1" applyBorder="1" applyAlignment="1" applyProtection="1">
      <alignment horizontal="right" vertical="justify"/>
    </xf>
    <xf numFmtId="169" fontId="7" fillId="0" borderId="0" xfId="2" applyNumberFormat="1" applyFont="1" applyAlignment="1">
      <alignment horizontal="right" vertical="justify"/>
    </xf>
    <xf numFmtId="164" fontId="7" fillId="0" borderId="0" xfId="2" applyNumberFormat="1" applyFont="1" applyAlignment="1">
      <alignment horizontal="right" vertical="center"/>
    </xf>
    <xf numFmtId="164" fontId="7" fillId="0" borderId="0" xfId="1" applyNumberFormat="1" applyFont="1" applyFill="1" applyBorder="1" applyAlignment="1" applyProtection="1">
      <alignment horizontal="right" wrapText="1"/>
    </xf>
    <xf numFmtId="169" fontId="8" fillId="0" borderId="0" xfId="2" applyNumberFormat="1" applyFont="1" applyAlignment="1">
      <alignment horizontal="right" vertical="justify"/>
    </xf>
    <xf numFmtId="0" fontId="8" fillId="0" borderId="0" xfId="0" applyFont="1" applyAlignment="1"/>
    <xf numFmtId="0" fontId="5" fillId="0" borderId="0" xfId="0" applyFont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168" fontId="9" fillId="0" borderId="0" xfId="2" applyNumberFormat="1" applyFont="1" applyAlignment="1">
      <alignment horizontal="right" vertical="justify"/>
    </xf>
    <xf numFmtId="0" fontId="9" fillId="0" borderId="0" xfId="0" applyFont="1"/>
    <xf numFmtId="168" fontId="8" fillId="0" borderId="0" xfId="2" applyNumberFormat="1" applyFont="1" applyAlignment="1">
      <alignment horizontal="right" vertical="justify"/>
    </xf>
    <xf numFmtId="0" fontId="10" fillId="0" borderId="0" xfId="0" applyFont="1"/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" xfId="0" applyFont="1" applyBorder="1" applyAlignment="1">
      <alignment horizontal="right" vertical="center"/>
    </xf>
    <xf numFmtId="0" fontId="4" fillId="0" borderId="4" xfId="0" applyFont="1" applyBorder="1" applyAlignment="1">
      <alignment horizontal="right" vertical="center"/>
    </xf>
    <xf numFmtId="0" fontId="11" fillId="0" borderId="0" xfId="0" applyFont="1"/>
  </cellXfs>
  <cellStyles count="4">
    <cellStyle name="Millares_Cuadros 9-13" xfId="1"/>
    <cellStyle name="Normal" xfId="0" builtinId="0"/>
    <cellStyle name="Normal 2" xfId="2"/>
    <cellStyle name="Normal_Cuadros 9-13" xfId="3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 b="1">
                <a:latin typeface="Arial Narrow" panose="020B0606020202030204" pitchFamily="34" charset="0"/>
              </a:rPr>
              <a:t>ICA: TRIBUTOS ADUANEROS RECAUDADOS, 2017 - 2022</a:t>
            </a:r>
          </a:p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800" b="0">
                <a:latin typeface="Arial Narrow" panose="020B0606020202030204" pitchFamily="34" charset="0"/>
              </a:rPr>
              <a:t>   (Miles de soles)</a:t>
            </a:r>
          </a:p>
        </c:rich>
      </c:tx>
      <c:layout>
        <c:manualLayout>
          <c:xMode val="edge"/>
          <c:yMode val="edge"/>
          <c:x val="0.20943484803208223"/>
          <c:y val="2.63926098530917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482897384305842E-3"/>
          <c:y val="0.26817782732910594"/>
          <c:w val="0.98390342052313884"/>
          <c:h val="0.566835760574176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  24,4  '!$L$36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-5.952634299091228E-4"/>
                  <c:y val="-7.47801261684394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3BB9-4D40-9F4C-2B879A938A82}"/>
                </c:ext>
              </c:extLst>
            </c:dLbl>
            <c:dLbl>
              <c:idx val="1"/>
              <c:layout>
                <c:manualLayout>
                  <c:x val="-1.4765046261109253E-3"/>
                  <c:y val="-3.482684133509860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3BB9-4D40-9F4C-2B879A938A82}"/>
                </c:ext>
              </c:extLst>
            </c:dLbl>
            <c:dLbl>
              <c:idx val="2"/>
              <c:layout>
                <c:manualLayout>
                  <c:x val="5.4256731422085754E-4"/>
                  <c:y val="-7.806787309481105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3BB9-4D40-9F4C-2B879A938A82}"/>
                </c:ext>
              </c:extLst>
            </c:dLbl>
            <c:dLbl>
              <c:idx val="3"/>
              <c:layout>
                <c:manualLayout>
                  <c:x val="-2.9128791333516688E-3"/>
                  <c:y val="-3.8324855410772768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3BB9-4D40-9F4C-2B879A938A82}"/>
                </c:ext>
              </c:extLst>
            </c:dLbl>
            <c:dLbl>
              <c:idx val="4"/>
              <c:layout>
                <c:manualLayout>
                  <c:x val="-9.5866395079087887E-5"/>
                  <c:y val="-9.838106519870857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3BB9-4D40-9F4C-2B879A938A82}"/>
                </c:ext>
              </c:extLst>
            </c:dLbl>
            <c:dLbl>
              <c:idx val="5"/>
              <c:layout>
                <c:manualLayout>
                  <c:x val="-8.8975364565915753E-5"/>
                  <c:y val="-1.5515759645088611E-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3BB9-4D40-9F4C-2B879A938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24,4  '!$K$37:$K$42</c:f>
              <c:strCache>
                <c:ptCount val="6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                          Ene-Jun.</c:v>
                </c:pt>
              </c:strCache>
            </c:strRef>
          </c:cat>
          <c:val>
            <c:numRef>
              <c:f>'  24,4  '!$L$37:$L$42</c:f>
              <c:numCache>
                <c:formatCode>###\ ###</c:formatCode>
                <c:ptCount val="6"/>
                <c:pt idx="0">
                  <c:v>276284.88488000003</c:v>
                </c:pt>
                <c:pt idx="1">
                  <c:v>302287.21500000003</c:v>
                </c:pt>
                <c:pt idx="2">
                  <c:v>335095.30547999998</c:v>
                </c:pt>
                <c:pt idx="3">
                  <c:v>323875.49969999999</c:v>
                </c:pt>
                <c:pt idx="4">
                  <c:v>839464.86</c:v>
                </c:pt>
                <c:pt idx="5">
                  <c:v>619079.81000000006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B9-4D40-9F4C-2B879A938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2942784"/>
        <c:axId val="253004536"/>
      </c:barChart>
      <c:catAx>
        <c:axId val="252942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Superintendencia Nacional de Aduanas y de Administración Tributaria.</a:t>
                </a:r>
              </a:p>
            </c:rich>
          </c:tx>
          <c:layout>
            <c:manualLayout>
              <c:xMode val="edge"/>
              <c:yMode val="edge"/>
              <c:x val="3.4218425399527769E-2"/>
              <c:y val="0.92852511857070508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3004536"/>
        <c:crosses val="autoZero"/>
        <c:auto val="1"/>
        <c:lblAlgn val="ctr"/>
        <c:lblOffset val="100"/>
        <c:noMultiLvlLbl val="0"/>
      </c:catAx>
      <c:valAx>
        <c:axId val="253004536"/>
        <c:scaling>
          <c:orientation val="minMax"/>
        </c:scaling>
        <c:delete val="1"/>
        <c:axPos val="l"/>
        <c:numFmt formatCode="###\ ###" sourceLinked="1"/>
        <c:majorTickMark val="out"/>
        <c:minorTickMark val="none"/>
        <c:tickLblPos val="nextTo"/>
        <c:crossAx val="252942784"/>
        <c:crosses val="autoZero"/>
        <c:crossBetween val="between"/>
        <c:majorUnit val="4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/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9524</xdr:colOff>
      <xdr:row>9</xdr:row>
      <xdr:rowOff>0</xdr:rowOff>
    </xdr:from>
    <xdr:to>
      <xdr:col>13</xdr:col>
      <xdr:colOff>581025</xdr:colOff>
      <xdr:row>25</xdr:row>
      <xdr:rowOff>123826</xdr:rowOff>
    </xdr:to>
    <xdr:graphicFrame macro="">
      <xdr:nvGraphicFramePr>
        <xdr:cNvPr id="1107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3</xdr:row>
      <xdr:rowOff>9525</xdr:rowOff>
    </xdr:from>
    <xdr:to>
      <xdr:col>8</xdr:col>
      <xdr:colOff>985301</xdr:colOff>
      <xdr:row>8</xdr:row>
      <xdr:rowOff>14025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4075" y="409575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6</xdr:col>
      <xdr:colOff>654825</xdr:colOff>
      <xdr:row>3</xdr:row>
      <xdr:rowOff>7125</xdr:rowOff>
    </xdr:from>
    <xdr:to>
      <xdr:col>8</xdr:col>
      <xdr:colOff>983925</xdr:colOff>
      <xdr:row>8</xdr:row>
      <xdr:rowOff>11625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41225" y="407175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P48"/>
  <sheetViews>
    <sheetView showGridLines="0" tabSelected="1" zoomScaleNormal="100" workbookViewId="0">
      <selection activeCell="E45" sqref="E45"/>
    </sheetView>
  </sheetViews>
  <sheetFormatPr baseColWidth="10" defaultRowHeight="12.75" customHeight="1" x14ac:dyDescent="0.2"/>
  <cols>
    <col min="1" max="1" width="1.7109375" customWidth="1"/>
    <col min="2" max="3" width="13.7109375" customWidth="1"/>
    <col min="4" max="6" width="17.7109375" customWidth="1"/>
    <col min="7" max="7" width="9.85546875" customWidth="1"/>
    <col min="8" max="8" width="6.7109375" customWidth="1"/>
    <col min="9" max="9" width="19.28515625" customWidth="1"/>
    <col min="10" max="12" width="6.7109375" customWidth="1"/>
  </cols>
  <sheetData>
    <row r="1" spans="1:16" ht="9" customHeigh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</row>
    <row r="2" spans="1:16" ht="12" customHeight="1" x14ac:dyDescent="0.25">
      <c r="A2" s="5"/>
      <c r="B2" s="36" t="s">
        <v>12</v>
      </c>
      <c r="C2" s="1"/>
      <c r="D2" s="1"/>
      <c r="E2" s="1"/>
      <c r="F2" s="1"/>
      <c r="G2" s="5"/>
      <c r="H2" s="5"/>
      <c r="I2" s="5"/>
      <c r="J2" s="5"/>
      <c r="K2" s="5"/>
      <c r="L2" s="5"/>
      <c r="M2" s="5"/>
      <c r="N2" s="5"/>
      <c r="O2" s="5"/>
    </row>
    <row r="3" spans="1:16" ht="10.5" customHeight="1" x14ac:dyDescent="0.25">
      <c r="A3" s="5"/>
      <c r="B3" s="37" t="s">
        <v>6</v>
      </c>
      <c r="C3" s="8"/>
      <c r="D3" s="8"/>
      <c r="E3" s="8"/>
      <c r="F3" s="8"/>
      <c r="G3" s="5"/>
      <c r="H3" s="5"/>
      <c r="I3" s="5"/>
      <c r="J3" s="5"/>
      <c r="K3" s="5"/>
      <c r="L3" s="5"/>
      <c r="M3" s="5"/>
      <c r="N3" s="5"/>
      <c r="O3" s="5"/>
    </row>
    <row r="4" spans="1:16" ht="6" customHeigh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16" ht="12" customHeight="1" x14ac:dyDescent="0.25">
      <c r="A5" s="5"/>
      <c r="B5" s="42" t="s">
        <v>0</v>
      </c>
      <c r="C5" s="43"/>
      <c r="D5" s="46" t="s">
        <v>1</v>
      </c>
      <c r="E5" s="28" t="s">
        <v>2</v>
      </c>
      <c r="F5" s="28" t="s">
        <v>4</v>
      </c>
      <c r="G5" s="5"/>
      <c r="H5" s="5"/>
      <c r="I5" s="5"/>
      <c r="J5" s="5"/>
      <c r="K5" s="5"/>
      <c r="L5" s="5"/>
      <c r="M5" s="5"/>
      <c r="N5" s="5"/>
      <c r="O5" s="5"/>
    </row>
    <row r="6" spans="1:16" ht="12" customHeight="1" x14ac:dyDescent="0.25">
      <c r="A6" s="5"/>
      <c r="B6" s="44"/>
      <c r="C6" s="45"/>
      <c r="D6" s="47"/>
      <c r="E6" s="29" t="s">
        <v>3</v>
      </c>
      <c r="F6" s="29" t="s">
        <v>1</v>
      </c>
      <c r="G6" s="5"/>
      <c r="H6" s="5"/>
      <c r="I6" s="5"/>
      <c r="J6" s="5"/>
      <c r="K6" s="5"/>
      <c r="L6" s="5"/>
      <c r="M6" s="5"/>
      <c r="N6" s="5"/>
      <c r="O6" s="5"/>
      <c r="P6" s="48">
        <v>2</v>
      </c>
    </row>
    <row r="7" spans="1:16" ht="3" customHeight="1" x14ac:dyDescent="0.25">
      <c r="A7" s="5"/>
      <c r="B7" s="23"/>
      <c r="C7" s="24"/>
      <c r="D7" s="11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6" ht="12.6" customHeight="1" x14ac:dyDescent="0.25">
      <c r="A8" s="5"/>
      <c r="B8" s="21">
        <v>2010</v>
      </c>
      <c r="C8" s="25"/>
      <c r="D8" s="14">
        <v>18931024.38044</v>
      </c>
      <c r="E8" s="6">
        <v>158729.91746</v>
      </c>
      <c r="F8" s="6">
        <f t="shared" ref="F8:F19" si="0">D8-E8</f>
        <v>18772294.462980002</v>
      </c>
      <c r="G8" s="5"/>
      <c r="H8" s="10"/>
      <c r="I8" s="12"/>
      <c r="J8" s="5"/>
      <c r="K8" s="5"/>
      <c r="L8" s="5"/>
      <c r="M8" s="5"/>
      <c r="N8" s="5"/>
      <c r="O8" s="5"/>
    </row>
    <row r="9" spans="1:16" ht="12.6" customHeight="1" x14ac:dyDescent="0.25">
      <c r="A9" s="5"/>
      <c r="B9" s="21">
        <v>2011</v>
      </c>
      <c r="C9" s="25"/>
      <c r="D9" s="19">
        <v>21092853.52358</v>
      </c>
      <c r="E9" s="7">
        <v>188341.33991000001</v>
      </c>
      <c r="F9" s="6">
        <f t="shared" si="0"/>
        <v>20904512.183669999</v>
      </c>
      <c r="G9" s="5"/>
      <c r="H9" s="5"/>
      <c r="I9" s="13"/>
      <c r="J9" s="5"/>
      <c r="K9" s="5"/>
      <c r="L9" s="5"/>
      <c r="M9" s="5"/>
      <c r="N9" s="5"/>
      <c r="O9" s="5"/>
    </row>
    <row r="10" spans="1:16" ht="12.6" customHeight="1" x14ac:dyDescent="0.25">
      <c r="A10" s="5"/>
      <c r="B10" s="21">
        <v>2012</v>
      </c>
      <c r="C10" s="25"/>
      <c r="D10" s="7">
        <v>22270201.126180001</v>
      </c>
      <c r="E10" s="7">
        <v>124314.80657</v>
      </c>
      <c r="F10" s="6">
        <f t="shared" si="0"/>
        <v>22145886.31961</v>
      </c>
      <c r="G10" s="5"/>
      <c r="H10" s="5"/>
      <c r="I10" s="13"/>
      <c r="J10" s="5"/>
      <c r="K10" s="5"/>
      <c r="L10" s="5"/>
      <c r="M10" s="5"/>
      <c r="N10" s="5"/>
      <c r="O10" s="5"/>
    </row>
    <row r="11" spans="1:16" ht="12.6" customHeight="1" x14ac:dyDescent="0.25">
      <c r="A11" s="5"/>
      <c r="B11" s="21">
        <v>2013</v>
      </c>
      <c r="C11" s="25"/>
      <c r="D11" s="33">
        <v>23978023.091279998</v>
      </c>
      <c r="E11" s="30">
        <v>177330.37075000003</v>
      </c>
      <c r="F11" s="6">
        <f t="shared" si="0"/>
        <v>23800692.72053</v>
      </c>
      <c r="G11" s="5"/>
      <c r="H11" s="5"/>
      <c r="I11" s="15"/>
      <c r="J11" s="5"/>
      <c r="K11" s="5"/>
      <c r="L11" s="5"/>
      <c r="M11" s="5"/>
      <c r="N11" s="5"/>
      <c r="O11" s="5"/>
    </row>
    <row r="12" spans="1:16" ht="12.6" customHeight="1" x14ac:dyDescent="0.25">
      <c r="A12" s="5"/>
      <c r="B12" s="21">
        <v>2014</v>
      </c>
      <c r="C12" s="26"/>
      <c r="D12" s="19">
        <v>24993419.430149999</v>
      </c>
      <c r="E12" s="31">
        <v>154470.64769000001</v>
      </c>
      <c r="F12" s="6">
        <f t="shared" si="0"/>
        <v>24838948.782459997</v>
      </c>
      <c r="G12" s="5"/>
      <c r="H12" s="5"/>
      <c r="I12" s="16"/>
      <c r="J12" s="5"/>
      <c r="K12" s="5"/>
      <c r="L12" s="5"/>
      <c r="M12" s="5"/>
      <c r="N12" s="5"/>
      <c r="O12" s="5"/>
    </row>
    <row r="13" spans="1:16" ht="12.6" customHeight="1" x14ac:dyDescent="0.25">
      <c r="A13" s="5"/>
      <c r="B13" s="21">
        <v>2015</v>
      </c>
      <c r="C13" s="26"/>
      <c r="D13" s="32">
        <v>24668384.23277</v>
      </c>
      <c r="E13" s="31">
        <v>271185.89822999999</v>
      </c>
      <c r="F13" s="6">
        <f t="shared" si="0"/>
        <v>24397198.334539998</v>
      </c>
      <c r="G13" s="5"/>
      <c r="H13" s="5"/>
      <c r="I13" s="17"/>
      <c r="J13" s="5"/>
      <c r="K13" s="5"/>
      <c r="L13" s="5"/>
      <c r="M13" s="5"/>
      <c r="N13" s="5"/>
      <c r="O13" s="5"/>
    </row>
    <row r="14" spans="1:16" ht="12.6" customHeight="1" x14ac:dyDescent="0.25">
      <c r="A14" s="5"/>
      <c r="B14" s="21">
        <v>2016</v>
      </c>
      <c r="C14" s="26"/>
      <c r="D14" s="32">
        <v>25384665.249878202</v>
      </c>
      <c r="E14" s="31">
        <v>177816.14708</v>
      </c>
      <c r="F14" s="6">
        <f t="shared" si="0"/>
        <v>25206849.102798201</v>
      </c>
      <c r="G14" s="5"/>
      <c r="H14" s="5"/>
      <c r="I14" s="17"/>
      <c r="J14" s="5"/>
      <c r="K14" s="5"/>
      <c r="L14" s="5"/>
      <c r="M14" s="5"/>
      <c r="N14" s="5"/>
      <c r="O14" s="5"/>
    </row>
    <row r="15" spans="1:16" ht="12.6" customHeight="1" x14ac:dyDescent="0.25">
      <c r="A15" s="5"/>
      <c r="B15" s="21">
        <v>2017</v>
      </c>
      <c r="C15" s="26"/>
      <c r="D15" s="32">
        <v>26690240.9985958</v>
      </c>
      <c r="E15" s="31">
        <v>276284.88488000003</v>
      </c>
      <c r="F15" s="6">
        <f t="shared" si="0"/>
        <v>26413956.113715801</v>
      </c>
      <c r="G15" s="5"/>
      <c r="H15" s="5"/>
      <c r="I15" s="18"/>
      <c r="J15" s="5"/>
      <c r="K15" s="5"/>
      <c r="L15" s="5"/>
      <c r="M15" s="5"/>
      <c r="N15" s="5"/>
      <c r="O15" s="5"/>
    </row>
    <row r="16" spans="1:16" ht="12.6" customHeight="1" x14ac:dyDescent="0.25">
      <c r="A16" s="5"/>
      <c r="B16" s="21" t="s">
        <v>7</v>
      </c>
      <c r="C16" s="26"/>
      <c r="D16" s="32">
        <v>30254407.7047369</v>
      </c>
      <c r="E16" s="31">
        <v>302287.21500000003</v>
      </c>
      <c r="F16" s="6">
        <f t="shared" si="0"/>
        <v>29952120.4897369</v>
      </c>
      <c r="G16" s="5"/>
      <c r="H16" s="5"/>
      <c r="I16" s="18"/>
      <c r="J16" s="5"/>
      <c r="K16" s="5"/>
      <c r="L16" s="5"/>
      <c r="M16" s="5"/>
      <c r="N16" s="5"/>
      <c r="O16" s="5"/>
    </row>
    <row r="17" spans="1:15" ht="12.6" customHeight="1" x14ac:dyDescent="0.25">
      <c r="A17" s="5"/>
      <c r="B17" s="21" t="s">
        <v>8</v>
      </c>
      <c r="C17" s="26"/>
      <c r="D17" s="32">
        <v>30510749.504420001</v>
      </c>
      <c r="E17" s="31">
        <v>335095.30547999998</v>
      </c>
      <c r="F17" s="6">
        <f t="shared" si="0"/>
        <v>30175654.198940001</v>
      </c>
      <c r="G17" s="5"/>
      <c r="H17" s="5"/>
      <c r="I17" s="18"/>
      <c r="J17" s="5"/>
      <c r="K17" s="5"/>
      <c r="L17" s="5"/>
      <c r="M17" s="5"/>
      <c r="N17" s="5"/>
      <c r="O17" s="5"/>
    </row>
    <row r="18" spans="1:15" ht="12.6" customHeight="1" x14ac:dyDescent="0.25">
      <c r="A18" s="5"/>
      <c r="B18" s="21" t="s">
        <v>10</v>
      </c>
      <c r="C18" s="26"/>
      <c r="D18" s="32">
        <v>26891349.808176599</v>
      </c>
      <c r="E18" s="31">
        <v>323875.49969999999</v>
      </c>
      <c r="F18" s="6">
        <f t="shared" si="0"/>
        <v>26567474.308476601</v>
      </c>
      <c r="G18" s="5"/>
      <c r="H18" s="5"/>
      <c r="I18" s="20"/>
      <c r="J18" s="5"/>
      <c r="K18" s="5"/>
      <c r="L18" s="5"/>
      <c r="M18" s="5"/>
      <c r="N18" s="5"/>
      <c r="O18" s="5"/>
    </row>
    <row r="19" spans="1:15" ht="12.6" customHeight="1" x14ac:dyDescent="0.25">
      <c r="A19" s="5"/>
      <c r="B19" s="21">
        <v>2021</v>
      </c>
      <c r="C19" s="26"/>
      <c r="D19" s="32">
        <v>40995540.200000003</v>
      </c>
      <c r="E19" s="31">
        <v>839464.86</v>
      </c>
      <c r="F19" s="6">
        <f t="shared" si="0"/>
        <v>40156075.340000004</v>
      </c>
      <c r="G19" s="5"/>
      <c r="H19" s="5"/>
      <c r="I19" s="38"/>
      <c r="J19" s="5"/>
      <c r="K19" s="5"/>
      <c r="L19" s="5"/>
      <c r="M19" s="5"/>
      <c r="N19" s="5"/>
      <c r="O19" s="5"/>
    </row>
    <row r="20" spans="1:15" ht="12" customHeight="1" x14ac:dyDescent="0.25">
      <c r="A20" s="5"/>
      <c r="B20" s="21" t="s">
        <v>11</v>
      </c>
      <c r="C20" s="26"/>
      <c r="D20" s="32">
        <v>21925585.870000001</v>
      </c>
      <c r="E20" s="31">
        <v>619079.81000000006</v>
      </c>
      <c r="F20" s="6">
        <f t="shared" ref="F20" si="1">D20-E20</f>
        <v>21306506.060000002</v>
      </c>
      <c r="G20" s="5"/>
      <c r="H20" s="5"/>
      <c r="I20" s="40" t="s">
        <v>9</v>
      </c>
      <c r="J20" s="5"/>
      <c r="K20" s="5"/>
      <c r="L20" s="5"/>
      <c r="M20" s="5"/>
      <c r="N20" s="5"/>
      <c r="O20" s="5"/>
    </row>
    <row r="21" spans="1:15" ht="3" customHeight="1" x14ac:dyDescent="0.25">
      <c r="A21" s="5"/>
      <c r="B21" s="9"/>
      <c r="C21" s="27"/>
      <c r="D21" s="9"/>
      <c r="E21" s="9"/>
      <c r="F21" s="9"/>
      <c r="G21" s="5"/>
      <c r="H21" s="5"/>
      <c r="I21" s="39"/>
      <c r="J21" s="5"/>
      <c r="K21" s="5"/>
      <c r="L21" s="5"/>
      <c r="M21" s="5"/>
      <c r="N21" s="5"/>
      <c r="O21" s="5"/>
    </row>
    <row r="22" spans="1:15" ht="12.75" customHeight="1" x14ac:dyDescent="0.25">
      <c r="A22" s="5"/>
      <c r="B22" s="2" t="s">
        <v>5</v>
      </c>
      <c r="C22" s="23"/>
      <c r="D22" s="23"/>
      <c r="E22" s="23"/>
      <c r="F22" s="23"/>
      <c r="G22" s="5"/>
      <c r="H22" s="5"/>
      <c r="I22" s="39"/>
      <c r="J22" s="5"/>
      <c r="K22" s="5"/>
      <c r="L22" s="5"/>
      <c r="M22" s="5"/>
      <c r="N22" s="5"/>
      <c r="O22" s="5"/>
    </row>
    <row r="23" spans="1:15" ht="12.75" customHeight="1" x14ac:dyDescent="0.25">
      <c r="A23" s="5"/>
      <c r="B23" s="2"/>
      <c r="C23" s="23"/>
      <c r="D23" s="23"/>
      <c r="E23" s="23"/>
      <c r="F23" s="23"/>
      <c r="G23" s="5"/>
      <c r="H23" s="5"/>
      <c r="I23" s="39"/>
      <c r="J23" s="5"/>
      <c r="K23" s="5"/>
      <c r="L23" s="5"/>
      <c r="M23" s="5"/>
      <c r="N23" s="5"/>
      <c r="O23" s="5"/>
    </row>
    <row r="24" spans="1:15" ht="12.75" customHeight="1" x14ac:dyDescent="0.25">
      <c r="A24" s="5"/>
      <c r="B24" s="2"/>
      <c r="C24" s="23"/>
      <c r="D24" s="23"/>
      <c r="E24" s="23"/>
      <c r="F24" s="23"/>
      <c r="G24" s="5"/>
      <c r="H24" s="5"/>
      <c r="I24" s="39"/>
      <c r="J24" s="5"/>
      <c r="K24" s="5"/>
      <c r="L24" s="5"/>
      <c r="M24" s="5"/>
      <c r="N24" s="5"/>
      <c r="O24" s="5"/>
    </row>
    <row r="25" spans="1:15" ht="12.75" customHeight="1" x14ac:dyDescent="0.25">
      <c r="A25" s="5"/>
      <c r="B25" s="2"/>
      <c r="C25" s="23"/>
      <c r="D25" s="23"/>
      <c r="E25" s="23"/>
      <c r="F25" s="23"/>
      <c r="G25" s="5"/>
      <c r="H25" s="5"/>
      <c r="I25" s="39"/>
      <c r="J25" s="5"/>
      <c r="K25" s="5"/>
      <c r="L25" s="5"/>
      <c r="M25" s="5"/>
      <c r="N25" s="5"/>
      <c r="O25" s="5"/>
    </row>
    <row r="26" spans="1:15" ht="12.75" customHeight="1" x14ac:dyDescent="0.25">
      <c r="A26" s="5"/>
      <c r="B26" s="2"/>
      <c r="C26" s="23"/>
      <c r="D26" s="23"/>
      <c r="E26" s="23"/>
      <c r="F26" s="23"/>
      <c r="G26" s="5"/>
      <c r="H26" s="5"/>
      <c r="I26" s="39"/>
      <c r="J26" s="5"/>
      <c r="K26" s="5"/>
      <c r="L26" s="5"/>
      <c r="M26" s="5"/>
      <c r="N26" s="5"/>
      <c r="O26" s="5"/>
    </row>
    <row r="27" spans="1:15" ht="12.75" customHeight="1" x14ac:dyDescent="0.25">
      <c r="A27" s="5"/>
      <c r="B27" s="2"/>
      <c r="C27" s="23"/>
      <c r="D27" s="23"/>
      <c r="E27" s="23"/>
      <c r="F27" s="23"/>
      <c r="G27" s="5"/>
      <c r="H27" s="5"/>
      <c r="I27" s="39"/>
      <c r="J27" s="5"/>
      <c r="K27" s="5"/>
      <c r="L27" s="5"/>
      <c r="M27" s="5"/>
      <c r="N27" s="5"/>
      <c r="O27" s="5"/>
    </row>
    <row r="28" spans="1:15" ht="12.75" customHeight="1" x14ac:dyDescent="0.25">
      <c r="A28" s="5"/>
      <c r="B28" s="2"/>
      <c r="C28" s="23"/>
      <c r="D28" s="23"/>
      <c r="E28" s="23"/>
      <c r="F28" s="23"/>
      <c r="G28" s="5"/>
      <c r="H28" s="5"/>
      <c r="I28" s="39"/>
      <c r="J28" s="5"/>
      <c r="K28" s="5"/>
      <c r="L28" s="5"/>
      <c r="M28" s="5"/>
      <c r="N28" s="5"/>
      <c r="O28" s="5"/>
    </row>
    <row r="29" spans="1:15" ht="3" customHeight="1" x14ac:dyDescent="0.25">
      <c r="A29" s="5"/>
      <c r="B29" s="23"/>
      <c r="C29" s="23"/>
      <c r="D29" s="23"/>
      <c r="E29" s="23"/>
      <c r="F29" s="23"/>
      <c r="G29" s="5"/>
      <c r="H29" s="5"/>
      <c r="I29" s="39"/>
      <c r="J29" s="5"/>
      <c r="K29" s="5"/>
      <c r="L29" s="5"/>
      <c r="M29" s="5"/>
      <c r="N29" s="5"/>
      <c r="O29" s="5"/>
    </row>
    <row r="30" spans="1:15" ht="3" customHeight="1" x14ac:dyDescent="0.25">
      <c r="A30" s="5"/>
      <c r="B30" s="23"/>
      <c r="C30" s="23"/>
      <c r="D30" s="23"/>
      <c r="E30" s="23"/>
      <c r="F30" s="23"/>
      <c r="G30" s="5"/>
      <c r="H30" s="5"/>
      <c r="I30" s="39"/>
      <c r="J30" s="5"/>
      <c r="K30" s="5"/>
      <c r="L30" s="5"/>
      <c r="M30" s="5"/>
      <c r="N30" s="5"/>
      <c r="O30" s="5"/>
    </row>
    <row r="31" spans="1:15" ht="3" customHeight="1" x14ac:dyDescent="0.25">
      <c r="A31" s="5"/>
      <c r="B31" s="23"/>
      <c r="C31" s="23"/>
      <c r="D31" s="23"/>
      <c r="E31" s="23"/>
      <c r="F31" s="23"/>
      <c r="G31" s="5"/>
      <c r="H31" s="5"/>
      <c r="I31" s="39"/>
      <c r="J31" s="5"/>
      <c r="K31" s="5"/>
      <c r="L31" s="5"/>
      <c r="M31" s="5"/>
      <c r="N31" s="5"/>
      <c r="O31" s="5"/>
    </row>
    <row r="32" spans="1:15" ht="3" customHeight="1" x14ac:dyDescent="0.25">
      <c r="A32" s="5"/>
      <c r="B32" s="23"/>
      <c r="C32" s="23"/>
      <c r="D32" s="23"/>
      <c r="E32" s="23"/>
      <c r="F32" s="23"/>
      <c r="G32" s="5"/>
      <c r="H32" s="5"/>
      <c r="I32" s="39"/>
      <c r="J32" s="5"/>
      <c r="K32" s="5"/>
      <c r="L32" s="5"/>
      <c r="M32" s="5"/>
      <c r="N32" s="5"/>
      <c r="O32" s="5"/>
    </row>
    <row r="33" spans="1:15" ht="3" customHeight="1" x14ac:dyDescent="0.25">
      <c r="A33" s="5"/>
      <c r="B33" s="23"/>
      <c r="C33" s="23"/>
      <c r="D33" s="23"/>
      <c r="E33" s="23"/>
      <c r="F33" s="23"/>
      <c r="G33" s="5"/>
      <c r="H33" s="5"/>
      <c r="I33" s="39"/>
      <c r="J33" s="5"/>
      <c r="K33" s="5"/>
      <c r="L33" s="5"/>
      <c r="M33" s="5"/>
      <c r="N33" s="5"/>
      <c r="O33" s="5"/>
    </row>
    <row r="34" spans="1:15" ht="9.75" customHeight="1" x14ac:dyDescent="0.25">
      <c r="A34" s="5"/>
      <c r="B34" s="23"/>
      <c r="C34" s="23"/>
      <c r="D34" s="23"/>
      <c r="E34" s="23"/>
      <c r="F34" s="23"/>
      <c r="G34" s="5"/>
      <c r="H34" s="5"/>
      <c r="I34" s="39"/>
      <c r="J34" s="5"/>
      <c r="K34" s="5"/>
      <c r="L34" s="5"/>
      <c r="M34" s="5"/>
      <c r="N34" s="5"/>
      <c r="O34" s="5"/>
    </row>
    <row r="35" spans="1:15" ht="10.5" customHeight="1" x14ac:dyDescent="0.25">
      <c r="A35" s="5"/>
      <c r="C35" s="5"/>
      <c r="D35" s="5"/>
      <c r="E35" s="5"/>
      <c r="F35" s="5"/>
      <c r="G35" s="5"/>
      <c r="H35" s="5"/>
      <c r="I35" s="22"/>
      <c r="J35" s="5"/>
      <c r="K35" s="5"/>
      <c r="L35" s="5"/>
      <c r="M35" s="5"/>
      <c r="N35" s="22"/>
      <c r="O35" s="5"/>
    </row>
    <row r="36" spans="1:15" ht="6.75" customHeight="1" x14ac:dyDescent="0.25">
      <c r="A36" s="5"/>
      <c r="B36" s="5"/>
      <c r="C36" s="5"/>
      <c r="D36" s="3"/>
      <c r="E36" s="4"/>
      <c r="F36" s="5"/>
      <c r="G36" s="5"/>
      <c r="H36" s="5"/>
      <c r="I36" s="22"/>
      <c r="J36" s="22"/>
      <c r="K36" s="22"/>
      <c r="L36" s="22"/>
      <c r="M36" s="22"/>
      <c r="N36" s="22"/>
      <c r="O36" s="5"/>
    </row>
    <row r="37" spans="1:15" ht="12" customHeight="1" x14ac:dyDescent="0.25">
      <c r="A37" s="5"/>
      <c r="B37" s="5"/>
      <c r="C37" s="5"/>
      <c r="D37" s="5"/>
      <c r="E37" s="5"/>
      <c r="F37" s="5"/>
      <c r="G37" s="5"/>
      <c r="H37" s="5"/>
      <c r="I37" s="22"/>
      <c r="J37" s="22"/>
      <c r="K37" s="35">
        <v>2017</v>
      </c>
      <c r="L37" s="34">
        <v>276284.88488000003</v>
      </c>
      <c r="M37" s="22"/>
      <c r="N37" s="22"/>
      <c r="O37" s="5"/>
    </row>
    <row r="38" spans="1:15" ht="13.5" x14ac:dyDescent="0.25">
      <c r="A38" s="5"/>
      <c r="B38" s="5"/>
      <c r="C38" s="5"/>
      <c r="D38" s="5"/>
      <c r="E38" s="5"/>
      <c r="F38" s="5"/>
      <c r="G38" s="5"/>
      <c r="H38" s="5"/>
      <c r="I38" s="22"/>
      <c r="J38" s="22"/>
      <c r="K38" s="35">
        <v>2018</v>
      </c>
      <c r="L38" s="34">
        <v>302287.21500000003</v>
      </c>
      <c r="M38" s="22"/>
      <c r="N38" s="22"/>
      <c r="O38" s="5"/>
    </row>
    <row r="39" spans="1:15" ht="13.5" x14ac:dyDescent="0.25">
      <c r="A39" s="5"/>
      <c r="B39" s="5"/>
      <c r="C39" s="5"/>
      <c r="D39" s="5"/>
      <c r="E39" s="5"/>
      <c r="F39" s="5"/>
      <c r="G39" s="5"/>
      <c r="H39" s="5"/>
      <c r="I39" s="22"/>
      <c r="J39" s="22"/>
      <c r="K39" s="35">
        <v>2019</v>
      </c>
      <c r="L39" s="34">
        <v>335095.30547999998</v>
      </c>
      <c r="M39" s="22"/>
      <c r="N39" s="22"/>
      <c r="O39" s="5"/>
    </row>
    <row r="40" spans="1:15" ht="13.5" x14ac:dyDescent="0.25">
      <c r="A40" s="5"/>
      <c r="B40" s="5"/>
      <c r="C40" s="5"/>
      <c r="D40" s="5"/>
      <c r="E40" s="5"/>
      <c r="F40" s="5"/>
      <c r="G40" s="5"/>
      <c r="H40" s="5"/>
      <c r="I40" s="22"/>
      <c r="J40" s="22"/>
      <c r="K40" s="35">
        <v>2020</v>
      </c>
      <c r="L40" s="34">
        <v>323875.49969999999</v>
      </c>
      <c r="M40" s="22"/>
      <c r="N40" s="22"/>
      <c r="O40" s="5"/>
    </row>
    <row r="41" spans="1:15" ht="13.5" x14ac:dyDescent="0.25">
      <c r="A41" s="5"/>
      <c r="B41" s="5"/>
      <c r="C41" s="5"/>
      <c r="D41" s="5"/>
      <c r="E41" s="5"/>
      <c r="F41" s="5"/>
      <c r="G41" s="5"/>
      <c r="H41" s="5"/>
      <c r="I41" s="22"/>
      <c r="J41" s="22"/>
      <c r="K41" s="35">
        <v>2021</v>
      </c>
      <c r="L41" s="34">
        <v>839464.86</v>
      </c>
      <c r="M41" s="22"/>
      <c r="N41" s="22"/>
      <c r="O41" s="5"/>
    </row>
    <row r="42" spans="1:15" ht="13.5" x14ac:dyDescent="0.25">
      <c r="A42" s="5"/>
      <c r="B42" s="5"/>
      <c r="C42" s="5"/>
      <c r="D42" s="5"/>
      <c r="E42" s="5"/>
      <c r="F42" s="5"/>
      <c r="G42" s="5"/>
      <c r="H42" s="5"/>
      <c r="I42" s="22"/>
      <c r="J42" s="22"/>
      <c r="K42" s="35" t="s">
        <v>13</v>
      </c>
      <c r="L42" s="34">
        <v>619079.81000000006</v>
      </c>
      <c r="M42" s="22"/>
      <c r="N42" s="22"/>
      <c r="O42" s="5"/>
    </row>
    <row r="48" spans="1:15" ht="12.75" customHeight="1" x14ac:dyDescent="0.2">
      <c r="E48" s="41"/>
    </row>
  </sheetData>
  <mergeCells count="2">
    <mergeCell ref="B5:C6"/>
    <mergeCell ref="D5:D6"/>
  </mergeCells>
  <phoneticPr fontId="0" type="noConversion"/>
  <printOptions horizontalCentered="1"/>
  <pageMargins left="0.59055118110236227" right="0.78740157480314965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24,4  </vt:lpstr>
      <vt:lpstr>'  24,4  '!Área_de_impresión</vt:lpstr>
    </vt:vector>
  </TitlesOfParts>
  <Company>INEI-ICA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Difusion</dc:creator>
  <cp:lastModifiedBy>LUIS CANO</cp:lastModifiedBy>
  <cp:lastPrinted>2014-09-23T21:24:26Z</cp:lastPrinted>
  <dcterms:created xsi:type="dcterms:W3CDTF">2008-11-07T23:54:35Z</dcterms:created>
  <dcterms:modified xsi:type="dcterms:W3CDTF">2022-12-27T16:10:29Z</dcterms:modified>
</cp:coreProperties>
</file>