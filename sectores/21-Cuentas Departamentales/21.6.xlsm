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1-Cuentas Departamentales\"/>
    </mc:Choice>
  </mc:AlternateContent>
  <bookViews>
    <workbookView xWindow="-105" yWindow="-105" windowWidth="23250" windowHeight="12570"/>
  </bookViews>
  <sheets>
    <sheet name="  21,6  " sheetId="1" r:id="rId1"/>
  </sheets>
  <definedNames>
    <definedName name="_xlnm.Print_Area" localSheetId="0">'  21,6  '!$B$2:$J$59</definedName>
  </definedNames>
  <calcPr calcId="162913"/>
</workbook>
</file>

<file path=xl/calcChain.xml><?xml version="1.0" encoding="utf-8"?>
<calcChain xmlns="http://schemas.openxmlformats.org/spreadsheetml/2006/main">
  <c r="I13" i="1" l="1"/>
  <c r="I8" i="1" s="1"/>
  <c r="H13" i="1"/>
  <c r="H8" i="1" s="1"/>
  <c r="G13" i="1"/>
  <c r="G8" i="1" s="1"/>
  <c r="F13" i="1"/>
  <c r="E13" i="1"/>
  <c r="D13" i="1"/>
  <c r="D8" i="1" s="1"/>
  <c r="C13" i="1"/>
  <c r="C8" i="1" s="1"/>
  <c r="F8" i="1"/>
  <c r="E8" i="1"/>
  <c r="J13" i="1" l="1"/>
  <c r="J8" i="1" s="1"/>
</calcChain>
</file>

<file path=xl/sharedStrings.xml><?xml version="1.0" encoding="utf-8"?>
<sst xmlns="http://schemas.openxmlformats.org/spreadsheetml/2006/main" count="41" uniqueCount="41">
  <si>
    <t>Derechos de Importación</t>
  </si>
  <si>
    <t>Producto Bruto Interno</t>
  </si>
  <si>
    <t>Amazonas</t>
  </si>
  <si>
    <t>Apurímac</t>
  </si>
  <si>
    <t>Arequipa</t>
  </si>
  <si>
    <t>Ayacucho</t>
  </si>
  <si>
    <t>Cajamarca</t>
  </si>
  <si>
    <t>Cusco</t>
  </si>
  <si>
    <t>Huancavelica</t>
  </si>
  <si>
    <t>Huánuco</t>
  </si>
  <si>
    <t>Ica</t>
  </si>
  <si>
    <t>Junín</t>
  </si>
  <si>
    <t>La Libertad</t>
  </si>
  <si>
    <t>Lambayeque</t>
  </si>
  <si>
    <t>Loreto</t>
  </si>
  <si>
    <t>Madre de Dios</t>
  </si>
  <si>
    <t>Moquegua</t>
  </si>
  <si>
    <t>Pasco</t>
  </si>
  <si>
    <t>Piura</t>
  </si>
  <si>
    <t>Puno</t>
  </si>
  <si>
    <t>Tacna</t>
  </si>
  <si>
    <t>Tumbes</t>
  </si>
  <si>
    <t>Ucayali</t>
  </si>
  <si>
    <t>Valor Agregado Bruto</t>
  </si>
  <si>
    <t>San Martín</t>
  </si>
  <si>
    <t>Impuestos a los Productos</t>
  </si>
  <si>
    <t>Áncash</t>
  </si>
  <si>
    <t>Fuente: Instituto Nacional de Estadística e Informática .</t>
  </si>
  <si>
    <t xml:space="preserve">         Valores a precios constantes de 2007</t>
  </si>
  <si>
    <t xml:space="preserve">         (Miles de soles)</t>
  </si>
  <si>
    <t>Departamentos</t>
  </si>
  <si>
    <t xml:space="preserve">Lima </t>
  </si>
  <si>
    <t>Prov. Constitu. del Callao</t>
  </si>
  <si>
    <t>Región Lima</t>
  </si>
  <si>
    <t>Provincia de Lima</t>
  </si>
  <si>
    <t>2020 E/</t>
  </si>
  <si>
    <t>2021 E/</t>
  </si>
  <si>
    <t>21.6   PERÚ: PRODUCTO BRUTO INTERNO POR AÑOS, SEGÚN  DEPARTAMENTOS, 2014 - 2021</t>
  </si>
  <si>
    <t>Con información disponible al 15 de abril de 2022</t>
  </si>
  <si>
    <t>2018 P/</t>
  </si>
  <si>
    <t>2019 P/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</si>
</sst>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)"/>
    <numFmt numFmtId="165" formatCode="#\ ###\ ###"/>
    <numFmt numFmtId="166" formatCode="###\ ###\ ###\ ###"/>
  </numFmts>
  <fonts count="10" x14ac:knownFonts="1">
    <font>
      <sz val="10"/>
      <name val="Arial"/>
    </font>
    <font>
      <b/>
      <sz val="7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color indexed="10"/>
      <name val="Arial Narrow"/>
      <family val="2"/>
    </font>
    <font>
      <b/>
      <sz val="9"/>
      <name val="Arial Narrow"/>
      <family val="2"/>
    </font>
    <font>
      <sz val="8"/>
      <color theme="0"/>
      <name val="Arial Narrow"/>
      <family val="2"/>
    </font>
    <font>
      <sz val="7"/>
      <name val="Calibri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4" fontId="2" fillId="0" borderId="1" xfId="0" applyNumberFormat="1" applyFont="1" applyBorder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wrapText="1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5" fontId="6" fillId="0" borderId="0" xfId="0" applyNumberFormat="1" applyFont="1" applyAlignment="1">
      <alignment vertical="center"/>
    </xf>
    <xf numFmtId="166" fontId="3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top"/>
    </xf>
    <xf numFmtId="0" fontId="2" fillId="0" borderId="0" xfId="0" applyFont="1" applyAlignment="1">
      <alignment vertical="top"/>
    </xf>
    <xf numFmtId="0" fontId="7" fillId="0" borderId="0" xfId="0" applyFont="1" applyAlignment="1">
      <alignment vertical="center"/>
    </xf>
    <xf numFmtId="164" fontId="2" fillId="0" borderId="0" xfId="0" applyNumberFormat="1" applyFont="1" applyAlignment="1">
      <alignment vertical="top"/>
    </xf>
    <xf numFmtId="166" fontId="3" fillId="0" borderId="0" xfId="0" applyNumberFormat="1" applyFont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166" fontId="2" fillId="0" borderId="0" xfId="0" applyNumberFormat="1" applyFont="1" applyAlignment="1">
      <alignment vertical="center"/>
    </xf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22"/>
    </mc:Choice>
    <mc:Fallback>
      <c:style val="22"/>
    </mc:Fallback>
  </mc:AlternateContent>
  <c:chart>
    <c:title>
      <c:tx>
        <c:rich>
          <a:bodyPr/>
          <a:lstStyle/>
          <a:p>
            <a:pPr algn="ctr">
              <a:defRPr sz="900" b="1">
                <a:latin typeface="Arial Narrow" panose="020B0606020202030204" pitchFamily="34" charset="0"/>
              </a:defRPr>
            </a:pPr>
            <a:r>
              <a:rPr lang="en-US" sz="900" b="1">
                <a:latin typeface="Arial Narrow" panose="020B0606020202030204" pitchFamily="34" charset="0"/>
                <a:cs typeface="Arial" panose="020B0604020202020204" pitchFamily="34" charset="0"/>
              </a:rPr>
              <a:t>ICA: PRODUCTO BRUTO INTERNO CONSTANTE, 2014 - 2021</a:t>
            </a:r>
          </a:p>
          <a:p>
            <a:pPr algn="ctr">
              <a:defRPr sz="900" b="1">
                <a:latin typeface="Arial Narrow" panose="020B0606020202030204" pitchFamily="34" charset="0"/>
              </a:defRPr>
            </a:pPr>
            <a:r>
              <a:rPr lang="en-US" sz="800" b="0">
                <a:latin typeface="Arial Narrow" panose="020B0606020202030204" pitchFamily="34" charset="0"/>
                <a:cs typeface="Arial" panose="020B0604020202020204" pitchFamily="34" charset="0"/>
              </a:rPr>
              <a:t>(Millones</a:t>
            </a:r>
            <a:r>
              <a:rPr lang="en-US" sz="800" b="0" baseline="0">
                <a:latin typeface="Arial Narrow" panose="020B0606020202030204" pitchFamily="34" charset="0"/>
                <a:cs typeface="Arial" panose="020B0604020202020204" pitchFamily="34" charset="0"/>
              </a:rPr>
              <a:t> de soles)</a:t>
            </a:r>
            <a:endParaRPr lang="en-US" sz="800" b="0">
              <a:latin typeface="Arial Narrow" panose="020B060602020203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327665900169561"/>
          <c:y val="1.0582010582010581E-2"/>
        </c:manualLayout>
      </c:layout>
      <c:overlay val="0"/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9C99D7"/>
        </a:solidFill>
      </c:spPr>
    </c:floor>
    <c:sideWall>
      <c:thickness val="0"/>
      <c:spPr>
        <a:noFill/>
      </c:spPr>
    </c:sideWall>
    <c:backWall>
      <c:thickness val="0"/>
      <c:spPr>
        <a:noFill/>
      </c:spPr>
    </c:backWall>
    <c:plotArea>
      <c:layout>
        <c:manualLayout>
          <c:layoutTarget val="inner"/>
          <c:xMode val="edge"/>
          <c:yMode val="edge"/>
          <c:x val="5.1981806367771277E-3"/>
          <c:y val="0.19162037037037036"/>
          <c:w val="0.99220272904483431"/>
          <c:h val="0.6731677018633540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</c:spPr>
          <c:invertIfNegative val="0"/>
          <c:dLbls>
            <c:dLbl>
              <c:idx val="0"/>
              <c:layout>
                <c:manualLayout>
                  <c:x val="5.5788005578800686E-3"/>
                  <c:y val="-1.0582010582010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02B-486F-A4F4-1DB418519EC2}"/>
                </c:ext>
              </c:extLst>
            </c:dLbl>
            <c:dLbl>
              <c:idx val="1"/>
              <c:layout>
                <c:manualLayout>
                  <c:x val="5.5787053167026691E-3"/>
                  <c:y val="-2.11640211640211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02B-486F-A4F4-1DB418519EC2}"/>
                </c:ext>
              </c:extLst>
            </c:dLbl>
            <c:dLbl>
              <c:idx val="2"/>
              <c:layout>
                <c:manualLayout>
                  <c:x val="5.5788005578800556E-3"/>
                  <c:y val="-1.58730158730158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902B-486F-A4F4-1DB418519EC2}"/>
                </c:ext>
              </c:extLst>
            </c:dLbl>
            <c:dLbl>
              <c:idx val="3"/>
              <c:layout>
                <c:manualLayout>
                  <c:x val="2.7894002789400278E-3"/>
                  <c:y val="-1.0582010582010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2B-486F-A4F4-1DB418519EC2}"/>
                </c:ext>
              </c:extLst>
            </c:dLbl>
            <c:dLbl>
              <c:idx val="4"/>
              <c:layout>
                <c:manualLayout>
                  <c:x val="5.5788005578800556E-3"/>
                  <c:y val="-1.0582010582010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02B-486F-A4F4-1DB418519EC2}"/>
                </c:ext>
              </c:extLst>
            </c:dLbl>
            <c:dLbl>
              <c:idx val="5"/>
              <c:layout>
                <c:manualLayout>
                  <c:x val="8.3682902469049778E-3"/>
                  <c:y val="-2.11640211640211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902B-486F-A4F4-1DB418519EC2}"/>
                </c:ext>
              </c:extLst>
            </c:dLbl>
            <c:dLbl>
              <c:idx val="6"/>
              <c:layout>
                <c:manualLayout>
                  <c:x val="8.368200836820083E-3"/>
                  <c:y val="-1.58730158730158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02B-486F-A4F4-1DB418519EC2}"/>
                </c:ext>
              </c:extLst>
            </c:dLbl>
            <c:dLbl>
              <c:idx val="7"/>
              <c:layout>
                <c:manualLayout>
                  <c:x val="2.7894002789399255E-3"/>
                  <c:y val="-1.0582010582010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902B-486F-A4F4-1DB418519E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21,6  '!$K$48:$K$55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  21,6  '!$L$48:$L$55</c:f>
              <c:numCache>
                <c:formatCode>#\ ###\ ###</c:formatCode>
                <c:ptCount val="8"/>
                <c:pt idx="0">
                  <c:v>14809.397000000001</c:v>
                </c:pt>
                <c:pt idx="1">
                  <c:v>15295.581</c:v>
                </c:pt>
                <c:pt idx="2">
                  <c:v>15325.191000000001</c:v>
                </c:pt>
                <c:pt idx="3">
                  <c:v>16206.741</c:v>
                </c:pt>
                <c:pt idx="4">
                  <c:v>16994.391</c:v>
                </c:pt>
                <c:pt idx="5">
                  <c:v>17656.353999999999</c:v>
                </c:pt>
                <c:pt idx="6">
                  <c:v>15615.683000000001</c:v>
                </c:pt>
                <c:pt idx="7">
                  <c:v>19434.830000000002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2B-486F-A4F4-1DB418519E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51638472"/>
        <c:axId val="251909864"/>
        <c:axId val="0"/>
      </c:bar3DChart>
      <c:catAx>
        <c:axId val="251638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>
                    <a:latin typeface="Arial Narrow" panose="020B0606020202030204" pitchFamily="34" charset="0"/>
                  </a:rPr>
                  <a:t>Fuente: Instituto Nacional de Estadística e Informática.</a:t>
                </a:r>
              </a:p>
            </c:rich>
          </c:tx>
          <c:layout>
            <c:manualLayout>
              <c:xMode val="edge"/>
              <c:yMode val="edge"/>
              <c:x val="2.4998301103544056E-2"/>
              <c:y val="0.946440716649549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  <a:cs typeface="Arial" panose="020B0604020202020204" pitchFamily="34" charset="0"/>
              </a:defRPr>
            </a:pPr>
            <a:endParaRPr lang="es-PE"/>
          </a:p>
        </c:txPr>
        <c:crossAx val="251909864"/>
        <c:crosses val="autoZero"/>
        <c:auto val="1"/>
        <c:lblAlgn val="ctr"/>
        <c:lblOffset val="100"/>
        <c:noMultiLvlLbl val="0"/>
      </c:catAx>
      <c:valAx>
        <c:axId val="251909864"/>
        <c:scaling>
          <c:orientation val="minMax"/>
        </c:scaling>
        <c:delete val="0"/>
        <c:axPos val="l"/>
        <c:numFmt formatCode="#\ ###\ ###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</a:defRPr>
            </a:pPr>
            <a:endParaRPr lang="es-PE"/>
          </a:p>
        </c:txPr>
        <c:crossAx val="251638472"/>
        <c:crosses val="autoZero"/>
        <c:crossBetween val="between"/>
        <c:majorUnit val="5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/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733424</xdr:colOff>
      <xdr:row>11</xdr:row>
      <xdr:rowOff>0</xdr:rowOff>
    </xdr:from>
    <xdr:to>
      <xdr:col>16</xdr:col>
      <xdr:colOff>628649</xdr:colOff>
      <xdr:row>28</xdr:row>
      <xdr:rowOff>114300</xdr:rowOff>
    </xdr:to>
    <xdr:graphicFrame macro="">
      <xdr:nvGraphicFramePr>
        <xdr:cNvPr id="5" name="grafico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742950</xdr:colOff>
      <xdr:row>4</xdr:row>
      <xdr:rowOff>9525</xdr:rowOff>
    </xdr:from>
    <xdr:to>
      <xdr:col>12</xdr:col>
      <xdr:colOff>651926</xdr:colOff>
      <xdr:row>9</xdr:row>
      <xdr:rowOff>118800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5334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740550</xdr:colOff>
      <xdr:row>4</xdr:row>
      <xdr:rowOff>7125</xdr:rowOff>
    </xdr:from>
    <xdr:to>
      <xdr:col>12</xdr:col>
      <xdr:colOff>650550</xdr:colOff>
      <xdr:row>9</xdr:row>
      <xdr:rowOff>116400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9850" y="53100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68"/>
  <sheetViews>
    <sheetView showGridLines="0" tabSelected="1" zoomScaleNormal="100" workbookViewId="0">
      <selection activeCell="G49" sqref="G49"/>
    </sheetView>
  </sheetViews>
  <sheetFormatPr baseColWidth="10" defaultColWidth="11.42578125" defaultRowHeight="13.15" customHeight="1" x14ac:dyDescent="0.2"/>
  <cols>
    <col min="1" max="1" width="1.7109375" customWidth="1"/>
    <col min="2" max="2" width="16.42578125" customWidth="1"/>
    <col min="3" max="5" width="8.5703125" customWidth="1"/>
    <col min="6" max="10" width="8.7109375" customWidth="1"/>
  </cols>
  <sheetData>
    <row r="1" spans="1:16" ht="9" customHeight="1" x14ac:dyDescent="0.2">
      <c r="A1" s="1"/>
      <c r="B1" s="2"/>
      <c r="C1" s="1"/>
      <c r="D1" s="1"/>
      <c r="E1" s="1"/>
      <c r="F1" s="8"/>
      <c r="G1" s="8"/>
      <c r="H1" s="8"/>
      <c r="I1" s="1"/>
      <c r="J1" s="1"/>
      <c r="K1" s="1"/>
      <c r="L1" s="1"/>
    </row>
    <row r="2" spans="1:16" ht="11.25" customHeight="1" x14ac:dyDescent="0.2">
      <c r="A2" s="1"/>
      <c r="B2" s="18" t="s">
        <v>37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6" ht="10.5" customHeight="1" x14ac:dyDescent="0.2">
      <c r="A3" s="1"/>
      <c r="B3" s="2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6" ht="10.5" customHeight="1" x14ac:dyDescent="0.2">
      <c r="A4" s="1"/>
      <c r="B4" s="19" t="s">
        <v>29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6" ht="3" customHeight="1" x14ac:dyDescent="0.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6" ht="15" customHeight="1" x14ac:dyDescent="0.2">
      <c r="A6" s="1"/>
      <c r="B6" s="14" t="s">
        <v>30</v>
      </c>
      <c r="C6" s="13">
        <v>2014</v>
      </c>
      <c r="D6" s="13">
        <v>2015</v>
      </c>
      <c r="E6" s="13">
        <v>2016</v>
      </c>
      <c r="F6" s="13">
        <v>2017</v>
      </c>
      <c r="G6" s="13" t="s">
        <v>39</v>
      </c>
      <c r="H6" s="13" t="s">
        <v>40</v>
      </c>
      <c r="I6" s="13" t="s">
        <v>35</v>
      </c>
      <c r="J6" s="13" t="s">
        <v>36</v>
      </c>
      <c r="K6" s="1"/>
      <c r="L6" s="1"/>
      <c r="P6" s="26">
        <v>2</v>
      </c>
    </row>
    <row r="7" spans="1:16" ht="3" customHeight="1" x14ac:dyDescent="0.2">
      <c r="A7" s="1"/>
      <c r="B7" s="9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6" ht="12.75" customHeight="1" x14ac:dyDescent="0.2">
      <c r="A8" s="1"/>
      <c r="B8" s="9" t="s">
        <v>1</v>
      </c>
      <c r="C8" s="22">
        <f t="shared" ref="C8:E8" si="0">C10+C11+C13</f>
        <v>467307969</v>
      </c>
      <c r="D8" s="22">
        <f t="shared" si="0"/>
        <v>482506365</v>
      </c>
      <c r="E8" s="22">
        <f t="shared" si="0"/>
        <v>501581474</v>
      </c>
      <c r="F8" s="22">
        <f>F10+F11+F13</f>
        <v>514215094</v>
      </c>
      <c r="G8" s="22">
        <f>G10+G11+G13</f>
        <v>534626494</v>
      </c>
      <c r="H8" s="22">
        <f>H10+H11+H13</f>
        <v>546604989</v>
      </c>
      <c r="I8" s="22">
        <f>I10+I11+I13</f>
        <v>486736994</v>
      </c>
      <c r="J8" s="22">
        <f>J10+J11+J13</f>
        <v>551714056</v>
      </c>
      <c r="K8" s="1"/>
      <c r="L8" s="1"/>
    </row>
    <row r="9" spans="1:16" ht="3" customHeight="1" x14ac:dyDescent="0.2">
      <c r="A9" s="1"/>
      <c r="B9" s="9"/>
      <c r="C9" s="22"/>
      <c r="D9" s="23"/>
      <c r="E9" s="23"/>
      <c r="F9" s="23"/>
      <c r="G9" s="23"/>
      <c r="H9" s="23"/>
      <c r="I9" s="23"/>
      <c r="J9" s="23"/>
      <c r="K9" s="1"/>
      <c r="L9" s="1"/>
    </row>
    <row r="10" spans="1:16" ht="12" customHeight="1" x14ac:dyDescent="0.25">
      <c r="A10" s="1"/>
      <c r="B10" s="11" t="s">
        <v>25</v>
      </c>
      <c r="C10" s="24">
        <v>39716922</v>
      </c>
      <c r="D10" s="24">
        <v>40458121</v>
      </c>
      <c r="E10" s="24">
        <v>42246926</v>
      </c>
      <c r="F10" s="24">
        <v>42666329</v>
      </c>
      <c r="G10" s="24">
        <v>44420343</v>
      </c>
      <c r="H10" s="24">
        <v>46142106</v>
      </c>
      <c r="I10" s="24">
        <v>40960444</v>
      </c>
      <c r="J10" s="24">
        <v>48348374</v>
      </c>
      <c r="K10" s="1"/>
      <c r="L10" s="1"/>
    </row>
    <row r="11" spans="1:16" ht="12" customHeight="1" x14ac:dyDescent="0.2">
      <c r="A11" s="1"/>
      <c r="B11" s="10" t="s">
        <v>0</v>
      </c>
      <c r="C11" s="24">
        <v>4397059</v>
      </c>
      <c r="D11" s="24">
        <v>3859052</v>
      </c>
      <c r="E11" s="24">
        <v>3612049</v>
      </c>
      <c r="F11" s="24">
        <v>3790051</v>
      </c>
      <c r="G11" s="24">
        <v>3849052</v>
      </c>
      <c r="H11" s="24">
        <v>3281044</v>
      </c>
      <c r="I11" s="24">
        <v>2740037</v>
      </c>
      <c r="J11" s="24">
        <v>3420046</v>
      </c>
      <c r="K11" s="1"/>
      <c r="L11" s="1"/>
    </row>
    <row r="12" spans="1:16" ht="6" customHeight="1" x14ac:dyDescent="0.2">
      <c r="A12" s="1"/>
      <c r="B12" s="9"/>
      <c r="C12" s="22"/>
      <c r="D12" s="23"/>
      <c r="E12" s="23"/>
      <c r="F12" s="23"/>
      <c r="G12" s="23"/>
      <c r="H12" s="23"/>
      <c r="I12" s="23"/>
      <c r="J12" s="23"/>
      <c r="K12" s="1"/>
      <c r="L12" s="1"/>
    </row>
    <row r="13" spans="1:16" ht="12" customHeight="1" x14ac:dyDescent="0.2">
      <c r="A13" s="1"/>
      <c r="B13" s="9" t="s">
        <v>23</v>
      </c>
      <c r="C13" s="17">
        <f t="shared" ref="C13:D13" si="1">SUM(C14:C27, C31:C40)</f>
        <v>423193988</v>
      </c>
      <c r="D13" s="17">
        <f t="shared" si="1"/>
        <v>438189192</v>
      </c>
      <c r="E13" s="17">
        <f t="shared" ref="E13:J13" si="2">SUM(E14:E27, E31:E40)</f>
        <v>455722499</v>
      </c>
      <c r="F13" s="17">
        <f t="shared" si="2"/>
        <v>467758714</v>
      </c>
      <c r="G13" s="17">
        <f t="shared" si="2"/>
        <v>486357099</v>
      </c>
      <c r="H13" s="17">
        <f t="shared" si="2"/>
        <v>497181839</v>
      </c>
      <c r="I13" s="17">
        <f t="shared" si="2"/>
        <v>443036513</v>
      </c>
      <c r="J13" s="17">
        <f t="shared" si="2"/>
        <v>499945636</v>
      </c>
      <c r="K13" s="1"/>
      <c r="L13" s="1"/>
    </row>
    <row r="14" spans="1:16" ht="12" customHeight="1" x14ac:dyDescent="0.2">
      <c r="A14" s="1"/>
      <c r="B14" s="10" t="s">
        <v>2</v>
      </c>
      <c r="C14" s="24">
        <v>2824603</v>
      </c>
      <c r="D14" s="24">
        <v>2782128</v>
      </c>
      <c r="E14" s="24">
        <v>2784366</v>
      </c>
      <c r="F14" s="24">
        <v>2940822</v>
      </c>
      <c r="G14" s="24">
        <v>3118373</v>
      </c>
      <c r="H14" s="24">
        <v>3168990</v>
      </c>
      <c r="I14" s="24">
        <v>3033975</v>
      </c>
      <c r="J14" s="24">
        <v>3135501</v>
      </c>
      <c r="K14" s="1"/>
      <c r="L14" s="1"/>
    </row>
    <row r="15" spans="1:16" ht="12" customHeight="1" x14ac:dyDescent="0.2">
      <c r="A15" s="1"/>
      <c r="B15" s="10" t="s">
        <v>26</v>
      </c>
      <c r="C15" s="24">
        <v>16028265</v>
      </c>
      <c r="D15" s="24">
        <v>17584621</v>
      </c>
      <c r="E15" s="24">
        <v>18365696</v>
      </c>
      <c r="F15" s="24">
        <v>19317454</v>
      </c>
      <c r="G15" s="24">
        <v>20712339</v>
      </c>
      <c r="H15" s="24">
        <v>20059093</v>
      </c>
      <c r="I15" s="24">
        <v>18774516</v>
      </c>
      <c r="J15" s="24">
        <v>21297400</v>
      </c>
      <c r="K15" s="1"/>
      <c r="L15" s="1"/>
    </row>
    <row r="16" spans="1:16" ht="12" customHeight="1" x14ac:dyDescent="0.2">
      <c r="A16" s="1"/>
      <c r="B16" s="10" t="s">
        <v>3</v>
      </c>
      <c r="C16" s="24">
        <v>2437434</v>
      </c>
      <c r="D16" s="24">
        <v>2630345</v>
      </c>
      <c r="E16" s="24">
        <v>6343065</v>
      </c>
      <c r="F16" s="24">
        <v>7718535</v>
      </c>
      <c r="G16" s="24">
        <v>7131314</v>
      </c>
      <c r="H16" s="24">
        <v>7170478</v>
      </c>
      <c r="I16" s="24">
        <v>6443685</v>
      </c>
      <c r="J16" s="24">
        <v>6580442</v>
      </c>
      <c r="K16" s="1"/>
      <c r="L16" s="1"/>
    </row>
    <row r="17" spans="1:12" ht="12" customHeight="1" x14ac:dyDescent="0.2">
      <c r="A17" s="1"/>
      <c r="B17" s="10" t="s">
        <v>4</v>
      </c>
      <c r="C17" s="24">
        <v>22773308</v>
      </c>
      <c r="D17" s="24">
        <v>23524592</v>
      </c>
      <c r="E17" s="24">
        <v>29623112</v>
      </c>
      <c r="F17" s="24">
        <v>30724797</v>
      </c>
      <c r="G17" s="24">
        <v>31506818</v>
      </c>
      <c r="H17" s="24">
        <v>31404343</v>
      </c>
      <c r="I17" s="24">
        <v>26482174</v>
      </c>
      <c r="J17" s="24">
        <v>29897324</v>
      </c>
      <c r="K17" s="1"/>
      <c r="L17" s="1"/>
    </row>
    <row r="18" spans="1:12" ht="12" customHeight="1" x14ac:dyDescent="0.2">
      <c r="A18" s="1"/>
      <c r="B18" s="10" t="s">
        <v>5</v>
      </c>
      <c r="C18" s="24">
        <v>4879476</v>
      </c>
      <c r="D18" s="24">
        <v>5162331</v>
      </c>
      <c r="E18" s="24">
        <v>5177917</v>
      </c>
      <c r="F18" s="24">
        <v>5451854</v>
      </c>
      <c r="G18" s="24">
        <v>5760202</v>
      </c>
      <c r="H18" s="24">
        <v>5931518</v>
      </c>
      <c r="I18" s="24">
        <v>5161383</v>
      </c>
      <c r="J18" s="24">
        <v>5717700</v>
      </c>
      <c r="K18" s="1"/>
      <c r="L18" s="1"/>
    </row>
    <row r="19" spans="1:12" ht="12" customHeight="1" x14ac:dyDescent="0.2">
      <c r="A19" s="1"/>
      <c r="B19" s="10" t="s">
        <v>6</v>
      </c>
      <c r="C19" s="24">
        <v>10855588</v>
      </c>
      <c r="D19" s="24">
        <v>10798612</v>
      </c>
      <c r="E19" s="24">
        <v>10581305</v>
      </c>
      <c r="F19" s="24">
        <v>10901682</v>
      </c>
      <c r="G19" s="24">
        <v>11209419</v>
      </c>
      <c r="H19" s="24">
        <v>11479756</v>
      </c>
      <c r="I19" s="24">
        <v>10323609</v>
      </c>
      <c r="J19" s="24">
        <v>11468693</v>
      </c>
      <c r="K19" s="1"/>
      <c r="L19" s="1"/>
    </row>
    <row r="20" spans="1:12" ht="12" customHeight="1" x14ac:dyDescent="0.2">
      <c r="A20" s="1"/>
      <c r="B20" s="10" t="s">
        <v>7</v>
      </c>
      <c r="C20" s="24">
        <v>20723581</v>
      </c>
      <c r="D20" s="24">
        <v>21071852</v>
      </c>
      <c r="E20" s="24">
        <v>21898270</v>
      </c>
      <c r="F20" s="24">
        <v>21576717</v>
      </c>
      <c r="G20" s="24">
        <v>21700735</v>
      </c>
      <c r="H20" s="24">
        <v>22006880</v>
      </c>
      <c r="I20" s="24">
        <v>19273644</v>
      </c>
      <c r="J20" s="24">
        <v>20508967</v>
      </c>
      <c r="K20" s="1"/>
      <c r="L20" s="1"/>
    </row>
    <row r="21" spans="1:12" ht="12" customHeight="1" x14ac:dyDescent="0.2">
      <c r="A21" s="1"/>
      <c r="B21" s="10" t="s">
        <v>8</v>
      </c>
      <c r="C21" s="24">
        <v>3281748</v>
      </c>
      <c r="D21" s="24">
        <v>3265820</v>
      </c>
      <c r="E21" s="24">
        <v>3212948</v>
      </c>
      <c r="F21" s="24">
        <v>3354985</v>
      </c>
      <c r="G21" s="24">
        <v>3525421</v>
      </c>
      <c r="H21" s="24">
        <v>3527812</v>
      </c>
      <c r="I21" s="24">
        <v>3284747</v>
      </c>
      <c r="J21" s="24">
        <v>3486567</v>
      </c>
      <c r="K21" s="1"/>
      <c r="L21" s="1"/>
    </row>
    <row r="22" spans="1:12" ht="12" customHeight="1" x14ac:dyDescent="0.2">
      <c r="A22" s="1"/>
      <c r="B22" s="10" t="s">
        <v>9</v>
      </c>
      <c r="C22" s="24">
        <v>4799787</v>
      </c>
      <c r="D22" s="24">
        <v>5114983</v>
      </c>
      <c r="E22" s="24">
        <v>5345445</v>
      </c>
      <c r="F22" s="24">
        <v>5832171</v>
      </c>
      <c r="G22" s="24">
        <v>6010056</v>
      </c>
      <c r="H22" s="24">
        <v>6081484</v>
      </c>
      <c r="I22" s="24">
        <v>5413863</v>
      </c>
      <c r="J22" s="24">
        <v>5918883</v>
      </c>
      <c r="K22" s="1"/>
      <c r="L22" s="1"/>
    </row>
    <row r="23" spans="1:12" ht="12" customHeight="1" x14ac:dyDescent="0.2">
      <c r="A23" s="4"/>
      <c r="B23" s="9" t="s">
        <v>10</v>
      </c>
      <c r="C23" s="17">
        <v>14809397</v>
      </c>
      <c r="D23" s="17">
        <v>15295581</v>
      </c>
      <c r="E23" s="17">
        <v>15325191</v>
      </c>
      <c r="F23" s="17">
        <v>16206741</v>
      </c>
      <c r="G23" s="17">
        <v>16994391</v>
      </c>
      <c r="H23" s="17">
        <v>17656354</v>
      </c>
      <c r="I23" s="17">
        <v>15615683</v>
      </c>
      <c r="J23" s="17">
        <v>19434835</v>
      </c>
      <c r="K23" s="4"/>
      <c r="L23" s="4"/>
    </row>
    <row r="24" spans="1:12" ht="12" customHeight="1" x14ac:dyDescent="0.2">
      <c r="A24" s="1"/>
      <c r="B24" s="10" t="s">
        <v>11</v>
      </c>
      <c r="C24" s="24">
        <v>12391582</v>
      </c>
      <c r="D24" s="24">
        <v>14412891</v>
      </c>
      <c r="E24" s="24">
        <v>14285221</v>
      </c>
      <c r="F24" s="24">
        <v>14954057</v>
      </c>
      <c r="G24" s="24">
        <v>15459518</v>
      </c>
      <c r="H24" s="24">
        <v>15330366</v>
      </c>
      <c r="I24" s="24">
        <v>13877218</v>
      </c>
      <c r="J24" s="24">
        <v>15948120</v>
      </c>
      <c r="K24" s="1"/>
      <c r="L24" s="1"/>
    </row>
    <row r="25" spans="1:12" ht="12" customHeight="1" x14ac:dyDescent="0.2">
      <c r="A25" s="1"/>
      <c r="B25" s="10" t="s">
        <v>12</v>
      </c>
      <c r="C25" s="24">
        <v>19821258</v>
      </c>
      <c r="D25" s="24">
        <v>20274733</v>
      </c>
      <c r="E25" s="24">
        <v>20448345</v>
      </c>
      <c r="F25" s="24">
        <v>20797558</v>
      </c>
      <c r="G25" s="24">
        <v>21840178</v>
      </c>
      <c r="H25" s="24">
        <v>22637274</v>
      </c>
      <c r="I25" s="24">
        <v>21228380</v>
      </c>
      <c r="J25" s="24">
        <v>23403009</v>
      </c>
      <c r="K25" s="1"/>
      <c r="L25" s="1"/>
    </row>
    <row r="26" spans="1:12" ht="12" customHeight="1" x14ac:dyDescent="0.2">
      <c r="A26" s="1"/>
      <c r="B26" s="10" t="s">
        <v>13</v>
      </c>
      <c r="C26" s="24">
        <v>10354938</v>
      </c>
      <c r="D26" s="24">
        <v>10809529</v>
      </c>
      <c r="E26" s="24">
        <v>11080412</v>
      </c>
      <c r="F26" s="24">
        <v>11371483</v>
      </c>
      <c r="G26" s="24">
        <v>11837862</v>
      </c>
      <c r="H26" s="24">
        <v>12113549</v>
      </c>
      <c r="I26" s="24">
        <v>11355783</v>
      </c>
      <c r="J26" s="24">
        <v>13072161</v>
      </c>
      <c r="K26" s="1"/>
      <c r="L26" s="1"/>
    </row>
    <row r="27" spans="1:12" ht="12" customHeight="1" x14ac:dyDescent="0.2">
      <c r="A27" s="1"/>
      <c r="B27" s="10" t="s">
        <v>31</v>
      </c>
      <c r="C27" s="24">
        <v>208022491</v>
      </c>
      <c r="D27" s="24">
        <v>214469326</v>
      </c>
      <c r="E27" s="24">
        <v>220241329</v>
      </c>
      <c r="F27" s="24">
        <v>224691974</v>
      </c>
      <c r="G27" s="24">
        <v>234445543</v>
      </c>
      <c r="H27" s="24">
        <v>240498497</v>
      </c>
      <c r="I27" s="24">
        <v>211793982</v>
      </c>
      <c r="J27" s="24">
        <v>242143160</v>
      </c>
      <c r="K27" s="1"/>
      <c r="L27" s="1"/>
    </row>
    <row r="28" spans="1:12" ht="12" customHeight="1" x14ac:dyDescent="0.2">
      <c r="A28" s="1"/>
      <c r="B28" s="10" t="s">
        <v>32</v>
      </c>
      <c r="C28" s="24">
        <v>19828477</v>
      </c>
      <c r="D28" s="24">
        <v>20209052</v>
      </c>
      <c r="E28" s="24">
        <v>20690862</v>
      </c>
      <c r="F28" s="24">
        <v>21400320</v>
      </c>
      <c r="G28" s="24">
        <v>22229310</v>
      </c>
      <c r="H28" s="24">
        <v>22458010</v>
      </c>
      <c r="I28" s="24">
        <v>18868542</v>
      </c>
      <c r="J28" s="24">
        <v>22199686</v>
      </c>
      <c r="K28" s="1"/>
      <c r="L28" s="1"/>
    </row>
    <row r="29" spans="1:12" ht="12" customHeight="1" x14ac:dyDescent="0.2">
      <c r="A29" s="1"/>
      <c r="B29" s="10" t="s">
        <v>33</v>
      </c>
      <c r="C29" s="24">
        <v>15468191</v>
      </c>
      <c r="D29" s="24">
        <v>15992567</v>
      </c>
      <c r="E29" s="24">
        <v>16146749</v>
      </c>
      <c r="F29" s="24">
        <v>16285655</v>
      </c>
      <c r="G29" s="24">
        <v>17183773</v>
      </c>
      <c r="H29" s="24">
        <v>17316831</v>
      </c>
      <c r="I29" s="24">
        <v>16336935</v>
      </c>
      <c r="J29" s="24">
        <v>17687691</v>
      </c>
      <c r="K29" s="1"/>
      <c r="L29" s="1"/>
    </row>
    <row r="30" spans="1:12" ht="12" customHeight="1" x14ac:dyDescent="0.2">
      <c r="A30" s="1"/>
      <c r="B30" s="10" t="s">
        <v>34</v>
      </c>
      <c r="C30" s="24">
        <v>172725823</v>
      </c>
      <c r="D30" s="24">
        <v>178267707</v>
      </c>
      <c r="E30" s="24">
        <v>183403718</v>
      </c>
      <c r="F30" s="24">
        <v>187005999</v>
      </c>
      <c r="G30" s="24">
        <v>195032460</v>
      </c>
      <c r="H30" s="24">
        <v>200723656</v>
      </c>
      <c r="I30" s="24">
        <v>176588505</v>
      </c>
      <c r="J30" s="24">
        <v>202255783</v>
      </c>
      <c r="K30" s="1"/>
      <c r="L30" s="1"/>
    </row>
    <row r="31" spans="1:12" ht="12" customHeight="1" x14ac:dyDescent="0.2">
      <c r="A31" s="1"/>
      <c r="B31" s="10" t="s">
        <v>14</v>
      </c>
      <c r="C31" s="24">
        <v>8779305</v>
      </c>
      <c r="D31" s="24">
        <v>8584514</v>
      </c>
      <c r="E31" s="24">
        <v>7602217</v>
      </c>
      <c r="F31" s="24">
        <v>8087444</v>
      </c>
      <c r="G31" s="24">
        <v>8932782</v>
      </c>
      <c r="H31" s="24">
        <v>9336037</v>
      </c>
      <c r="I31" s="24">
        <v>8040734</v>
      </c>
      <c r="J31" s="24">
        <v>8886191</v>
      </c>
      <c r="K31" s="1"/>
      <c r="L31" s="1"/>
    </row>
    <row r="32" spans="1:12" ht="12" customHeight="1" x14ac:dyDescent="0.2">
      <c r="A32" s="1"/>
      <c r="B32" s="10" t="s">
        <v>15</v>
      </c>
      <c r="C32" s="24">
        <v>1923155</v>
      </c>
      <c r="D32" s="24">
        <v>2346810</v>
      </c>
      <c r="E32" s="24">
        <v>2663699</v>
      </c>
      <c r="F32" s="24">
        <v>2409050</v>
      </c>
      <c r="G32" s="24">
        <v>2255653</v>
      </c>
      <c r="H32" s="24">
        <v>2124983</v>
      </c>
      <c r="I32" s="24">
        <v>1610287</v>
      </c>
      <c r="J32" s="24">
        <v>1738171</v>
      </c>
      <c r="K32" s="1"/>
      <c r="L32" s="1"/>
    </row>
    <row r="33" spans="1:12" ht="12" customHeight="1" x14ac:dyDescent="0.2">
      <c r="A33" s="1"/>
      <c r="B33" s="10" t="s">
        <v>16</v>
      </c>
      <c r="C33" s="24">
        <v>8371348</v>
      </c>
      <c r="D33" s="24">
        <v>8693747</v>
      </c>
      <c r="E33" s="24">
        <v>8635514</v>
      </c>
      <c r="F33" s="24">
        <v>8696704</v>
      </c>
      <c r="G33" s="24">
        <v>8785457</v>
      </c>
      <c r="H33" s="24">
        <v>8416846</v>
      </c>
      <c r="I33" s="24">
        <v>8581157</v>
      </c>
      <c r="J33" s="24">
        <v>9010514</v>
      </c>
      <c r="K33" s="1"/>
      <c r="L33" s="1"/>
    </row>
    <row r="34" spans="1:12" ht="12" customHeight="1" x14ac:dyDescent="0.2">
      <c r="A34" s="1"/>
      <c r="B34" s="10" t="s">
        <v>17</v>
      </c>
      <c r="C34" s="24">
        <v>5046668</v>
      </c>
      <c r="D34" s="24">
        <v>5211406</v>
      </c>
      <c r="E34" s="24">
        <v>5329324</v>
      </c>
      <c r="F34" s="24">
        <v>5333755</v>
      </c>
      <c r="G34" s="24">
        <v>5337612</v>
      </c>
      <c r="H34" s="24">
        <v>5443881</v>
      </c>
      <c r="I34" s="24">
        <v>4435254</v>
      </c>
      <c r="J34" s="24">
        <v>5258978</v>
      </c>
      <c r="K34" s="1"/>
      <c r="L34" s="1"/>
    </row>
    <row r="35" spans="1:12" ht="12" customHeight="1" x14ac:dyDescent="0.2">
      <c r="A35" s="1"/>
      <c r="B35" s="10" t="s">
        <v>18</v>
      </c>
      <c r="C35" s="24">
        <v>18750443</v>
      </c>
      <c r="D35" s="24">
        <v>18866671</v>
      </c>
      <c r="E35" s="24">
        <v>18924869</v>
      </c>
      <c r="F35" s="24">
        <v>18473111</v>
      </c>
      <c r="G35" s="24">
        <v>19758433</v>
      </c>
      <c r="H35" s="24">
        <v>20626256</v>
      </c>
      <c r="I35" s="24">
        <v>18695031</v>
      </c>
      <c r="J35" s="24">
        <v>20870378</v>
      </c>
      <c r="K35" s="1"/>
      <c r="L35" s="1"/>
    </row>
    <row r="36" spans="1:12" ht="12" customHeight="1" x14ac:dyDescent="0.2">
      <c r="A36" s="1"/>
      <c r="B36" s="10" t="s">
        <v>19</v>
      </c>
      <c r="C36" s="24">
        <v>8487313</v>
      </c>
      <c r="D36" s="24">
        <v>8519702</v>
      </c>
      <c r="E36" s="24">
        <v>9075999</v>
      </c>
      <c r="F36" s="24">
        <v>9434737</v>
      </c>
      <c r="G36" s="24">
        <v>9666999</v>
      </c>
      <c r="H36" s="24">
        <v>9803780</v>
      </c>
      <c r="I36" s="24">
        <v>8703309</v>
      </c>
      <c r="J36" s="24">
        <v>9696575</v>
      </c>
      <c r="K36" s="1"/>
      <c r="L36" s="1"/>
    </row>
    <row r="37" spans="1:12" ht="12" customHeight="1" x14ac:dyDescent="0.2">
      <c r="A37" s="1"/>
      <c r="B37" s="10" t="s">
        <v>24</v>
      </c>
      <c r="C37" s="24">
        <v>5173301</v>
      </c>
      <c r="D37" s="24">
        <v>5466266</v>
      </c>
      <c r="E37" s="24">
        <v>5588107</v>
      </c>
      <c r="F37" s="24">
        <v>5944145</v>
      </c>
      <c r="G37" s="24">
        <v>6063316</v>
      </c>
      <c r="H37" s="24">
        <v>6081464</v>
      </c>
      <c r="I37" s="24">
        <v>5862804</v>
      </c>
      <c r="J37" s="24">
        <v>6307479</v>
      </c>
      <c r="K37" s="1"/>
      <c r="L37" s="1"/>
    </row>
    <row r="38" spans="1:12" ht="12" customHeight="1" x14ac:dyDescent="0.2">
      <c r="A38" s="1"/>
      <c r="B38" s="10" t="s">
        <v>20</v>
      </c>
      <c r="C38" s="24">
        <v>6094038</v>
      </c>
      <c r="D38" s="24">
        <v>6598403</v>
      </c>
      <c r="E38" s="24">
        <v>6506248</v>
      </c>
      <c r="F38" s="24">
        <v>6584715</v>
      </c>
      <c r="G38" s="24">
        <v>7110940</v>
      </c>
      <c r="H38" s="24">
        <v>8737472</v>
      </c>
      <c r="I38" s="24">
        <v>8505041</v>
      </c>
      <c r="J38" s="24">
        <v>8852701</v>
      </c>
      <c r="K38" s="1"/>
      <c r="L38" s="1"/>
    </row>
    <row r="39" spans="1:12" ht="12" customHeight="1" x14ac:dyDescent="0.2">
      <c r="A39" s="1"/>
      <c r="B39" s="10" t="s">
        <v>21</v>
      </c>
      <c r="C39" s="24">
        <v>2607186</v>
      </c>
      <c r="D39" s="24">
        <v>2540855</v>
      </c>
      <c r="E39" s="24">
        <v>2507255</v>
      </c>
      <c r="F39" s="24">
        <v>2649033</v>
      </c>
      <c r="G39" s="24">
        <v>2752958</v>
      </c>
      <c r="H39" s="24">
        <v>2919599</v>
      </c>
      <c r="I39" s="24">
        <v>2518429</v>
      </c>
      <c r="J39" s="24">
        <v>2744790</v>
      </c>
      <c r="K39" s="1"/>
      <c r="L39" s="1"/>
    </row>
    <row r="40" spans="1:12" ht="12" customHeight="1" x14ac:dyDescent="0.2">
      <c r="A40" s="1"/>
      <c r="B40" s="10" t="s">
        <v>22</v>
      </c>
      <c r="C40" s="24">
        <v>3957775</v>
      </c>
      <c r="D40" s="24">
        <v>4163474</v>
      </c>
      <c r="E40" s="24">
        <v>4176645</v>
      </c>
      <c r="F40" s="24">
        <v>4305190</v>
      </c>
      <c r="G40" s="24">
        <v>4440780</v>
      </c>
      <c r="H40" s="24">
        <v>4625127</v>
      </c>
      <c r="I40" s="24">
        <v>4021825</v>
      </c>
      <c r="J40" s="24">
        <v>4567097</v>
      </c>
      <c r="K40" s="1"/>
      <c r="L40" s="1"/>
    </row>
    <row r="41" spans="1:12" ht="3" customHeight="1" x14ac:dyDescent="0.2">
      <c r="A41" s="1"/>
      <c r="B41" s="12"/>
      <c r="C41" s="5"/>
      <c r="D41" s="5"/>
      <c r="E41" s="5"/>
      <c r="F41" s="5"/>
      <c r="G41" s="5"/>
      <c r="H41" s="5"/>
      <c r="I41" s="5"/>
      <c r="J41" s="5"/>
      <c r="K41" s="1"/>
      <c r="L41" s="1"/>
    </row>
    <row r="42" spans="1:12" ht="10.5" customHeight="1" x14ac:dyDescent="0.2">
      <c r="A42" s="1"/>
      <c r="B42" s="20" t="s">
        <v>38</v>
      </c>
      <c r="C42" s="6"/>
      <c r="D42" s="6"/>
      <c r="E42" s="6"/>
      <c r="F42" s="6"/>
      <c r="G42" s="6"/>
      <c r="H42" s="6"/>
      <c r="I42" s="1"/>
      <c r="J42" s="1"/>
      <c r="K42" s="1"/>
      <c r="L42" s="1"/>
    </row>
    <row r="43" spans="1:12" ht="10.5" customHeight="1" x14ac:dyDescent="0.2">
      <c r="A43" s="1"/>
      <c r="B43" s="7" t="s">
        <v>27</v>
      </c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12.75" x14ac:dyDescent="0.2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ht="12.75" x14ac:dyDescent="0.2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  <c r="L45" s="22"/>
    </row>
    <row r="46" spans="1:12" ht="12.75" x14ac:dyDescent="0.2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ht="12.75" x14ac:dyDescent="0.2">
      <c r="A47" s="1"/>
      <c r="B47" s="2"/>
      <c r="C47" s="1"/>
      <c r="D47" s="1"/>
      <c r="E47" s="1"/>
      <c r="F47" s="1"/>
      <c r="G47" s="1"/>
      <c r="H47" s="1"/>
      <c r="I47" s="1"/>
      <c r="J47" s="1"/>
      <c r="K47" s="15"/>
      <c r="L47" s="15"/>
    </row>
    <row r="48" spans="1:12" ht="12.75" x14ac:dyDescent="0.2">
      <c r="A48" s="1"/>
      <c r="B48" s="2"/>
      <c r="C48" s="1"/>
      <c r="D48" s="1"/>
      <c r="E48" s="1"/>
      <c r="F48" s="1"/>
      <c r="G48" s="1"/>
      <c r="H48" s="1"/>
      <c r="I48" s="1"/>
      <c r="J48" s="1"/>
      <c r="K48" s="15">
        <v>2014</v>
      </c>
      <c r="L48" s="16">
        <v>14809.397000000001</v>
      </c>
    </row>
    <row r="49" spans="1:12" ht="12.75" x14ac:dyDescent="0.2">
      <c r="A49" s="1"/>
      <c r="B49" s="2"/>
      <c r="C49" s="1"/>
      <c r="D49" s="1"/>
      <c r="E49" s="1"/>
      <c r="F49" s="1"/>
      <c r="G49" s="1"/>
      <c r="H49" s="1"/>
      <c r="I49" s="1"/>
      <c r="J49" s="1"/>
      <c r="K49" s="15">
        <v>2015</v>
      </c>
      <c r="L49" s="16">
        <v>15295.581</v>
      </c>
    </row>
    <row r="50" spans="1:12" ht="12.75" x14ac:dyDescent="0.2">
      <c r="A50" s="1"/>
      <c r="B50" s="2"/>
      <c r="C50" s="1"/>
      <c r="D50" s="1"/>
      <c r="E50" s="1"/>
      <c r="F50" s="1"/>
      <c r="G50" s="1"/>
      <c r="H50" s="1"/>
      <c r="I50" s="1"/>
      <c r="J50" s="1"/>
      <c r="K50" s="15">
        <v>2016</v>
      </c>
      <c r="L50" s="16">
        <v>15325.191000000001</v>
      </c>
    </row>
    <row r="51" spans="1:12" ht="12.75" x14ac:dyDescent="0.2">
      <c r="A51" s="1"/>
      <c r="B51" s="2"/>
      <c r="C51" s="1"/>
      <c r="D51" s="1"/>
      <c r="E51" s="1"/>
      <c r="F51" s="1"/>
      <c r="G51" s="1"/>
      <c r="H51" s="1"/>
      <c r="I51" s="1"/>
      <c r="J51" s="1"/>
      <c r="K51" s="15">
        <v>2017</v>
      </c>
      <c r="L51" s="16">
        <v>16206.741</v>
      </c>
    </row>
    <row r="52" spans="1:12" ht="12.75" x14ac:dyDescent="0.2">
      <c r="A52" s="1"/>
      <c r="B52" s="2"/>
      <c r="C52" s="1"/>
      <c r="D52" s="1"/>
      <c r="E52" s="1"/>
      <c r="F52" s="1"/>
      <c r="G52" s="1"/>
      <c r="H52" s="1"/>
      <c r="I52" s="1"/>
      <c r="J52" s="1"/>
      <c r="K52" s="15">
        <v>2018</v>
      </c>
      <c r="L52" s="16">
        <v>16994.391</v>
      </c>
    </row>
    <row r="53" spans="1:12" ht="12.75" x14ac:dyDescent="0.2">
      <c r="A53" s="1"/>
      <c r="B53" s="2"/>
      <c r="C53" s="1"/>
      <c r="D53" s="1"/>
      <c r="E53" s="1"/>
      <c r="F53" s="1"/>
      <c r="G53" s="1"/>
      <c r="H53" s="1"/>
      <c r="I53" s="1"/>
      <c r="J53" s="1"/>
      <c r="K53" s="15">
        <v>2019</v>
      </c>
      <c r="L53" s="16">
        <v>17656.353999999999</v>
      </c>
    </row>
    <row r="54" spans="1:12" ht="12.75" x14ac:dyDescent="0.2">
      <c r="A54" s="1"/>
      <c r="B54" s="2"/>
      <c r="C54" s="1"/>
      <c r="D54" s="1"/>
      <c r="E54" s="1"/>
      <c r="F54" s="1"/>
      <c r="G54" s="1"/>
      <c r="H54" s="1"/>
      <c r="I54" s="1"/>
      <c r="J54" s="1"/>
      <c r="K54" s="15">
        <v>2020</v>
      </c>
      <c r="L54" s="16">
        <v>15615.683000000001</v>
      </c>
    </row>
    <row r="55" spans="1:12" ht="12.75" x14ac:dyDescent="0.2">
      <c r="A55" s="1"/>
      <c r="B55" s="2"/>
      <c r="C55" s="1"/>
      <c r="D55" s="1"/>
      <c r="E55" s="1"/>
      <c r="F55" s="1"/>
      <c r="G55" s="1"/>
      <c r="H55" s="1"/>
      <c r="I55" s="1"/>
      <c r="J55" s="1"/>
      <c r="K55" s="15">
        <v>2021</v>
      </c>
      <c r="L55" s="16">
        <v>19434.830000000002</v>
      </c>
    </row>
    <row r="56" spans="1:12" ht="12.75" x14ac:dyDescent="0.2">
      <c r="A56" s="1"/>
      <c r="B56" s="2"/>
      <c r="C56" s="1"/>
      <c r="D56" s="1"/>
      <c r="E56" s="1"/>
      <c r="F56" s="1"/>
      <c r="G56" s="1"/>
      <c r="H56" s="1"/>
      <c r="I56" s="1"/>
      <c r="J56" s="1"/>
      <c r="K56" s="15"/>
      <c r="L56" s="15"/>
    </row>
    <row r="57" spans="1:12" ht="12.75" x14ac:dyDescent="0.2">
      <c r="A57" s="1"/>
      <c r="B57" s="2"/>
      <c r="C57" s="1"/>
      <c r="D57" s="1"/>
      <c r="E57" s="1"/>
      <c r="F57" s="1"/>
      <c r="G57" s="1"/>
      <c r="H57" s="1"/>
      <c r="I57" s="1"/>
      <c r="J57" s="1"/>
      <c r="K57" s="15"/>
      <c r="L57" s="15"/>
    </row>
    <row r="58" spans="1:12" ht="12.75" x14ac:dyDescent="0.2">
      <c r="A58" s="1"/>
      <c r="B58" s="2"/>
      <c r="C58" s="1"/>
      <c r="D58" s="1"/>
      <c r="E58" s="1"/>
      <c r="F58" s="1"/>
      <c r="G58" s="1"/>
      <c r="H58" s="1"/>
      <c r="I58" s="1"/>
      <c r="J58" s="1"/>
      <c r="K58" s="15"/>
      <c r="L58" s="15"/>
    </row>
    <row r="59" spans="1:12" ht="12.75" x14ac:dyDescent="0.2">
      <c r="A59" s="1"/>
      <c r="B59" s="2"/>
      <c r="C59" s="1"/>
      <c r="D59" s="1"/>
      <c r="E59" s="1"/>
      <c r="F59" s="1"/>
      <c r="G59" s="1"/>
      <c r="H59" s="1"/>
      <c r="I59" s="1"/>
      <c r="J59" s="1"/>
      <c r="K59" s="15"/>
      <c r="L59" s="15"/>
    </row>
    <row r="68" spans="10:10" ht="13.15" customHeight="1" x14ac:dyDescent="0.2">
      <c r="J68" s="25"/>
    </row>
  </sheetData>
  <phoneticPr fontId="0" type="noConversion"/>
  <pageMargins left="1.9685039370078741" right="1.9685039370078741" top="1.9685039370078741" bottom="1.9685039370078741" header="0" footer="0"/>
  <pageSetup paperSize="9" scale="64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21,6  </vt:lpstr>
      <vt:lpstr>'  21,6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2004-08-17T20:04:31Z</cp:lastPrinted>
  <dcterms:created xsi:type="dcterms:W3CDTF">2003-11-21T14:29:33Z</dcterms:created>
  <dcterms:modified xsi:type="dcterms:W3CDTF">2022-12-26T16:07:49Z</dcterms:modified>
</cp:coreProperties>
</file>