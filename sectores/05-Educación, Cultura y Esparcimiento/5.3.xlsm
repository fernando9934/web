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CD - ICA COMPENDIO 2022\pagina\sectores\05-Educación, Cultura y Esparcimiento\"/>
    </mc:Choice>
  </mc:AlternateContent>
  <bookViews>
    <workbookView xWindow="11025" yWindow="120" windowWidth="10605" windowHeight="9495"/>
  </bookViews>
  <sheets>
    <sheet name="  5,3  " sheetId="1" r:id="rId1"/>
  </sheets>
  <definedNames>
    <definedName name="_xlnm.Print_Area" localSheetId="0">'  5,3  '!$B$2:$X$53</definedName>
  </definedNames>
  <calcPr calcId="162913"/>
</workbook>
</file>

<file path=xl/calcChain.xml><?xml version="1.0" encoding="utf-8"?>
<calcChain xmlns="http://schemas.openxmlformats.org/spreadsheetml/2006/main">
  <c r="E24" i="1" l="1"/>
  <c r="F24" i="1"/>
  <c r="W48" i="1" l="1"/>
  <c r="V48" i="1"/>
  <c r="U48" i="1"/>
  <c r="T48" i="1"/>
  <c r="Q48" i="1"/>
  <c r="P48" i="1"/>
  <c r="O48" i="1"/>
  <c r="N48" i="1"/>
  <c r="F48" i="1"/>
  <c r="E48" i="1"/>
  <c r="D48" i="1"/>
  <c r="C48" i="1"/>
  <c r="X48" i="1"/>
  <c r="R48" i="1"/>
  <c r="G48" i="1"/>
  <c r="W21" i="1"/>
  <c r="V21" i="1"/>
  <c r="U21" i="1"/>
  <c r="T21" i="1"/>
  <c r="Q21" i="1"/>
  <c r="P21" i="1"/>
  <c r="O21" i="1"/>
  <c r="N21" i="1"/>
  <c r="W36" i="1" l="1"/>
  <c r="W34" i="1" s="1"/>
  <c r="V36" i="1"/>
  <c r="V34" i="1" s="1"/>
  <c r="U36" i="1"/>
  <c r="U34" i="1" s="1"/>
  <c r="T36" i="1"/>
  <c r="T34" i="1"/>
  <c r="Q36" i="1"/>
  <c r="Q34" i="1" s="1"/>
  <c r="P36" i="1"/>
  <c r="P34" i="1" s="1"/>
  <c r="O36" i="1"/>
  <c r="O34" i="1" s="1"/>
  <c r="N36" i="1"/>
  <c r="N34" i="1" s="1"/>
  <c r="F36" i="1"/>
  <c r="F34" i="1" s="1"/>
  <c r="E36" i="1"/>
  <c r="E34" i="1" s="1"/>
  <c r="D36" i="1"/>
  <c r="D34" i="1" s="1"/>
  <c r="C36" i="1"/>
  <c r="C34" i="1" s="1"/>
  <c r="W9" i="1"/>
  <c r="W7" i="1" s="1"/>
  <c r="V9" i="1"/>
  <c r="V7" i="1" s="1"/>
  <c r="U9" i="1"/>
  <c r="U7" i="1" s="1"/>
  <c r="T9" i="1"/>
  <c r="T7" i="1" s="1"/>
  <c r="Q9" i="1"/>
  <c r="P9" i="1"/>
  <c r="P7" i="1" s="1"/>
  <c r="O9" i="1"/>
  <c r="N9" i="1"/>
  <c r="N7" i="1" s="1"/>
  <c r="Q7" i="1"/>
  <c r="O7" i="1"/>
  <c r="G24" i="1" l="1"/>
  <c r="X21" i="1"/>
  <c r="R21" i="1"/>
  <c r="G21" i="1" l="1"/>
  <c r="F23" i="1"/>
  <c r="E23" i="1"/>
  <c r="D23" i="1"/>
  <c r="C23" i="1"/>
  <c r="F22" i="1"/>
  <c r="E22" i="1"/>
  <c r="D22" i="1"/>
  <c r="C22" i="1"/>
  <c r="F21" i="1"/>
  <c r="E21" i="1"/>
  <c r="D21" i="1"/>
  <c r="C21" i="1"/>
  <c r="F20" i="1"/>
  <c r="E20" i="1"/>
  <c r="D20" i="1"/>
  <c r="C20" i="1"/>
  <c r="F19" i="1"/>
  <c r="E19" i="1"/>
  <c r="D19" i="1"/>
  <c r="C19" i="1"/>
  <c r="F18" i="1"/>
  <c r="E18" i="1"/>
  <c r="D18" i="1"/>
  <c r="C18" i="1"/>
  <c r="F17" i="1"/>
  <c r="E17" i="1"/>
  <c r="D17" i="1"/>
  <c r="C17" i="1"/>
  <c r="F16" i="1"/>
  <c r="E16" i="1"/>
  <c r="D16" i="1"/>
  <c r="C16" i="1"/>
  <c r="F15" i="1"/>
  <c r="E15" i="1"/>
  <c r="D15" i="1"/>
  <c r="C15" i="1"/>
  <c r="F14" i="1"/>
  <c r="E14" i="1"/>
  <c r="D14" i="1"/>
  <c r="C14" i="1"/>
  <c r="F13" i="1"/>
  <c r="E13" i="1"/>
  <c r="D13" i="1"/>
  <c r="C13" i="1"/>
  <c r="F12" i="1"/>
  <c r="E12" i="1"/>
  <c r="D12" i="1"/>
  <c r="C12" i="1"/>
  <c r="F11" i="1"/>
  <c r="E11" i="1"/>
  <c r="D11" i="1"/>
  <c r="C11" i="1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G15" i="1" l="1"/>
  <c r="G14" i="1"/>
  <c r="G13" i="1"/>
  <c r="G12" i="1"/>
  <c r="G11" i="1"/>
  <c r="X9" i="1" l="1"/>
  <c r="R9" i="1"/>
  <c r="G8" i="1" l="1"/>
  <c r="G10" i="1"/>
  <c r="G16" i="1"/>
  <c r="G17" i="1"/>
  <c r="G18" i="1"/>
  <c r="G19" i="1"/>
  <c r="G20" i="1"/>
  <c r="G22" i="1"/>
  <c r="G23" i="1"/>
  <c r="X36" i="1"/>
  <c r="R36" i="1"/>
  <c r="G36" i="1"/>
  <c r="X7" i="1"/>
  <c r="R7" i="1"/>
  <c r="R34" i="1" l="1"/>
  <c r="X34" i="1"/>
  <c r="G34" i="1"/>
  <c r="G9" i="1"/>
  <c r="G7" i="1" l="1"/>
  <c r="L36" i="1"/>
  <c r="L48" i="1"/>
  <c r="K36" i="1"/>
  <c r="K48" i="1"/>
  <c r="J36" i="1"/>
  <c r="J48" i="1"/>
  <c r="I36" i="1"/>
  <c r="I48" i="1"/>
  <c r="H36" i="1"/>
  <c r="H48" i="1"/>
  <c r="H11" i="1"/>
  <c r="H9" i="1" s="1"/>
  <c r="I11" i="1"/>
  <c r="I9" i="1" s="1"/>
  <c r="J11" i="1"/>
  <c r="J9" i="1" s="1"/>
  <c r="K21" i="1"/>
  <c r="K9" i="1"/>
  <c r="J21" i="1"/>
  <c r="H21" i="1"/>
  <c r="I21" i="1"/>
  <c r="L9" i="1"/>
  <c r="L7" i="1" s="1"/>
  <c r="I7" i="1" l="1"/>
  <c r="H34" i="1"/>
  <c r="I34" i="1"/>
  <c r="J7" i="1"/>
  <c r="J34" i="1"/>
  <c r="H7" i="1"/>
  <c r="K34" i="1"/>
  <c r="K7" i="1"/>
  <c r="L34" i="1"/>
</calcChain>
</file>

<file path=xl/sharedStrings.xml><?xml version="1.0" encoding="utf-8"?>
<sst xmlns="http://schemas.openxmlformats.org/spreadsheetml/2006/main" count="90" uniqueCount="27">
  <si>
    <t xml:space="preserve"> </t>
  </si>
  <si>
    <t>Continúa...</t>
  </si>
  <si>
    <t>Conclusión.</t>
  </si>
  <si>
    <t>-</t>
  </si>
  <si>
    <t xml:space="preserve">Nivel  y </t>
  </si>
  <si>
    <t>Modalidad</t>
  </si>
  <si>
    <t>Total</t>
  </si>
  <si>
    <t>I   Escolarizado</t>
  </si>
  <si>
    <t>Educación Inicial</t>
  </si>
  <si>
    <t>Educación Básica Alternativa</t>
  </si>
  <si>
    <t>Educación Básica Especial</t>
  </si>
  <si>
    <t>II   No Escolarizado</t>
  </si>
  <si>
    <t>Ica</t>
  </si>
  <si>
    <t>Chincha</t>
  </si>
  <si>
    <t>Pisco</t>
  </si>
  <si>
    <t>Nasca</t>
  </si>
  <si>
    <t>Palpa</t>
  </si>
  <si>
    <t>Fuente: Dirección Regional de Educación - Ica, Unidad de Estadística.</t>
  </si>
  <si>
    <t>Educación Primaria</t>
  </si>
  <si>
    <t>Educación Superior Pedagógico</t>
  </si>
  <si>
    <t>Educación Superior Tecnológico</t>
  </si>
  <si>
    <t>Educ. Sup. Formación Artística</t>
  </si>
  <si>
    <t>Educación Secundaria</t>
  </si>
  <si>
    <t>Educación Técnico Productivo</t>
  </si>
  <si>
    <t>PRONOEI</t>
  </si>
  <si>
    <t>Especial</t>
  </si>
  <si>
    <t>5.3  ICA: CENTROS EDUCATIVOS POR PROVINCIA, SEGÚN NIVEL Y MODALIDAD, 2017- 2021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</si>
</sst>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\ ###"/>
    <numFmt numFmtId="165" formatCode="_ [$€]* #,##0.00_ ;_ [$€]* \-#,##0.00_ ;_ [$€]* &quot;-&quot;??_ ;_ @_ "/>
  </numFmts>
  <fonts count="13" x14ac:knownFonts="1">
    <font>
      <sz val="10"/>
      <name val="Arial"/>
    </font>
    <font>
      <sz val="10"/>
      <name val="Arial"/>
      <family val="2"/>
    </font>
    <font>
      <b/>
      <sz val="8"/>
      <color indexed="8"/>
      <name val="Arial Narrow"/>
      <family val="2"/>
    </font>
    <font>
      <b/>
      <sz val="7"/>
      <color indexed="8"/>
      <name val="Arial Narrow"/>
      <family val="2"/>
    </font>
    <font>
      <sz val="8"/>
      <color indexed="8"/>
      <name val="Arial Narrow"/>
      <family val="2"/>
    </font>
    <font>
      <sz val="8"/>
      <name val="Arial Narrow"/>
      <family val="2"/>
    </font>
    <font>
      <b/>
      <sz val="9"/>
      <color indexed="8"/>
      <name val="Arial Narrow"/>
      <family val="2"/>
    </font>
    <font>
      <b/>
      <sz val="8"/>
      <name val="Arial Narrow"/>
      <family val="2"/>
    </font>
    <font>
      <u/>
      <sz val="10"/>
      <name val="Arial"/>
      <family val="2"/>
    </font>
    <font>
      <sz val="10"/>
      <color rgb="FFFF0000"/>
      <name val="Arial Narrow"/>
      <family val="2"/>
    </font>
    <font>
      <sz val="10"/>
      <color rgb="FFFFFFFF"/>
      <name val="Arial Narrow"/>
      <family val="2"/>
    </font>
    <font>
      <sz val="8"/>
      <color rgb="FFFFFFFF"/>
      <name val="Arial Narrow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Continuous"/>
    </xf>
    <xf numFmtId="0" fontId="4" fillId="0" borderId="0" xfId="0" applyFont="1" applyBorder="1"/>
    <xf numFmtId="0" fontId="2" fillId="0" borderId="2" xfId="0" applyFont="1" applyBorder="1" applyAlignment="1">
      <alignment horizontal="centerContinuous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centerContinuous"/>
    </xf>
    <xf numFmtId="164" fontId="4" fillId="0" borderId="0" xfId="0" applyNumberFormat="1" applyFont="1" applyBorder="1" applyAlignment="1"/>
    <xf numFmtId="164" fontId="4" fillId="0" borderId="0" xfId="0" applyNumberFormat="1" applyFont="1" applyBorder="1"/>
    <xf numFmtId="0" fontId="4" fillId="0" borderId="0" xfId="0" applyFont="1" applyBorder="1" applyAlignment="1"/>
    <xf numFmtId="164" fontId="4" fillId="0" borderId="0" xfId="0" applyNumberFormat="1" applyFont="1" applyFill="1" applyBorder="1"/>
    <xf numFmtId="164" fontId="4" fillId="0" borderId="0" xfId="0" applyNumberFormat="1" applyFont="1"/>
    <xf numFmtId="164" fontId="4" fillId="0" borderId="0" xfId="0" applyNumberFormat="1" applyFont="1" applyBorder="1" applyAlignment="1">
      <alignment horizontal="right"/>
    </xf>
    <xf numFmtId="0" fontId="4" fillId="0" borderId="3" xfId="0" applyFont="1" applyBorder="1"/>
    <xf numFmtId="0" fontId="2" fillId="0" borderId="0" xfId="0" applyFont="1" applyAlignment="1">
      <alignment horizontal="left"/>
    </xf>
    <xf numFmtId="0" fontId="4" fillId="0" borderId="0" xfId="0" applyFont="1" applyFill="1" applyBorder="1"/>
    <xf numFmtId="0" fontId="4" fillId="0" borderId="0" xfId="0" applyFont="1" applyBorder="1" applyAlignment="1">
      <alignment horizontal="right"/>
    </xf>
    <xf numFmtId="0" fontId="4" fillId="0" borderId="4" xfId="0" applyFont="1" applyBorder="1" applyAlignment="1">
      <alignment horizontal="centerContinuous"/>
    </xf>
    <xf numFmtId="0" fontId="2" fillId="0" borderId="4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4" fillId="0" borderId="5" xfId="0" applyFont="1" applyBorder="1"/>
    <xf numFmtId="0" fontId="3" fillId="0" borderId="0" xfId="0" applyFont="1" applyBorder="1" applyAlignment="1"/>
    <xf numFmtId="0" fontId="6" fillId="0" borderId="0" xfId="0" applyFont="1" applyBorder="1" applyAlignment="1">
      <alignment horizontal="left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left"/>
    </xf>
    <xf numFmtId="0" fontId="2" fillId="0" borderId="7" xfId="0" applyFont="1" applyBorder="1" applyAlignment="1">
      <alignment horizontal="centerContinuous"/>
    </xf>
    <xf numFmtId="0" fontId="2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7" xfId="0" applyFont="1" applyBorder="1"/>
    <xf numFmtId="0" fontId="2" fillId="0" borderId="0" xfId="0" applyFont="1" applyBorder="1" applyAlignment="1"/>
    <xf numFmtId="0" fontId="7" fillId="0" borderId="0" xfId="0" applyFont="1"/>
    <xf numFmtId="0" fontId="2" fillId="0" borderId="0" xfId="0" applyFont="1" applyBorder="1"/>
    <xf numFmtId="164" fontId="2" fillId="0" borderId="0" xfId="0" applyNumberFormat="1" applyFont="1" applyBorder="1" applyAlignment="1"/>
    <xf numFmtId="164" fontId="2" fillId="0" borderId="0" xfId="0" applyNumberFormat="1" applyFont="1" applyBorder="1"/>
    <xf numFmtId="0" fontId="8" fillId="0" borderId="0" xfId="0" applyFont="1"/>
    <xf numFmtId="0" fontId="9" fillId="0" borderId="0" xfId="0" applyFont="1" applyFill="1" applyBorder="1"/>
    <xf numFmtId="0" fontId="10" fillId="0" borderId="0" xfId="0" applyFont="1" applyFill="1" applyBorder="1"/>
    <xf numFmtId="0" fontId="11" fillId="0" borderId="0" xfId="0" applyFont="1" applyFill="1" applyBorder="1"/>
    <xf numFmtId="0" fontId="12" fillId="0" borderId="0" xfId="0" applyFont="1"/>
    <xf numFmtId="0" fontId="6" fillId="0" borderId="0" xfId="0" applyFont="1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Euro" xfId="1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ICA: CENTROS EDUCATIVOS POR PROVINCIA, 2021 </a:t>
            </a:r>
          </a:p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(Porcentaje) </a:t>
            </a:r>
          </a:p>
        </c:rich>
      </c:tx>
      <c:layout>
        <c:manualLayout>
          <c:xMode val="edge"/>
          <c:yMode val="edge"/>
          <c:x val="0.23664669128748286"/>
          <c:y val="1.275451889268558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4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6885553470919323"/>
          <c:y val="0.31598513011152418"/>
          <c:w val="0.61913696060037526"/>
          <c:h val="0.48327137546468402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25400">
              <a:noFill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298-48E8-8BFD-7A0F7A0529DB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298-48E8-8BFD-7A0F7A0529DB}"/>
              </c:ext>
            </c:extLst>
          </c:dPt>
          <c:dPt>
            <c:idx val="2"/>
            <c:bubble3D val="0"/>
            <c:spPr>
              <a:solidFill>
                <a:srgbClr val="FFCC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298-48E8-8BFD-7A0F7A0529DB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6-5298-48E8-8BFD-7A0F7A0529DB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298-48E8-8BFD-7A0F7A0529DB}"/>
              </c:ext>
            </c:extLst>
          </c:dPt>
          <c:dLbls>
            <c:dLbl>
              <c:idx val="0"/>
              <c:layout>
                <c:manualLayout>
                  <c:x val="-3.2076937849935705E-2"/>
                  <c:y val="7.9843105113719504E-2"/>
                </c:manualLayout>
              </c:layout>
              <c:tx>
                <c:rich>
                  <a:bodyPr/>
                  <a:lstStyle/>
                  <a:p>
                    <a:fld id="{0CABB589-921E-4FFD-B11E-C87BDC71E2F0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40,7%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298-48E8-8BFD-7A0F7A0529DB}"/>
                </c:ext>
              </c:extLst>
            </c:dLbl>
            <c:dLbl>
              <c:idx val="1"/>
              <c:layout>
                <c:manualLayout>
                  <c:x val="2.9386870731214876E-2"/>
                  <c:y val="7.6125632994760384E-2"/>
                </c:manualLayout>
              </c:layout>
              <c:tx>
                <c:rich>
                  <a:bodyPr/>
                  <a:lstStyle/>
                  <a:p>
                    <a:fld id="{C6DCA515-EBC9-4243-BD90-09EA69A240A9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29,0%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298-48E8-8BFD-7A0F7A0529DB}"/>
                </c:ext>
              </c:extLst>
            </c:dLbl>
            <c:dLbl>
              <c:idx val="2"/>
              <c:layout>
                <c:manualLayout>
                  <c:x val="3.560670300827784E-2"/>
                  <c:y val="-7.9638595361453401E-2"/>
                </c:manualLayout>
              </c:layout>
              <c:tx>
                <c:rich>
                  <a:bodyPr/>
                  <a:lstStyle/>
                  <a:p>
                    <a:fld id="{117163B4-9687-40B7-BF3C-5B09A1374CDD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16,6%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298-48E8-8BFD-7A0F7A0529DB}"/>
                </c:ext>
              </c:extLst>
            </c:dLbl>
            <c:dLbl>
              <c:idx val="3"/>
              <c:layout>
                <c:manualLayout>
                  <c:x val="-4.7172002186405937E-2"/>
                  <c:y val="-5.4776219887012284E-2"/>
                </c:manualLayout>
              </c:layout>
              <c:tx>
                <c:rich>
                  <a:bodyPr/>
                  <a:lstStyle/>
                  <a:p>
                    <a:fld id="{CE49FAF9-5093-47A5-9D82-0CDC7E2C3B4A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8,5%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298-48E8-8BFD-7A0F7A0529DB}"/>
                </c:ext>
              </c:extLst>
            </c:dLbl>
            <c:dLbl>
              <c:idx val="4"/>
              <c:layout>
                <c:manualLayout>
                  <c:x val="-1.0429943911795192E-2"/>
                  <c:y val="-9.0510005951858263E-2"/>
                </c:manualLayout>
              </c:layout>
              <c:tx>
                <c:rich>
                  <a:bodyPr/>
                  <a:lstStyle/>
                  <a:p>
                    <a:fld id="{D9A1E0AF-4924-4016-B563-8ADC24F8F7E6}" type="CATEGORYNAME">
                      <a:rPr lang="en-US"/>
                      <a:pPr/>
                      <a:t>[NOMBRE DE CATEGORÍA]</a:t>
                    </a:fld>
                    <a:r>
                      <a:rPr lang="en-US" baseline="0"/>
                      <a:t>
5,2%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298-48E8-8BFD-7A0F7A0529DB}"/>
                </c:ext>
              </c:extLst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Ica</c:v>
              </c:pt>
              <c:pt idx="1">
                <c:v>Chincha</c:v>
              </c:pt>
              <c:pt idx="2">
                <c:v>Pisco</c:v>
              </c:pt>
              <c:pt idx="3">
                <c:v>Nasca</c:v>
              </c:pt>
              <c:pt idx="4">
                <c:v>Palpa</c:v>
              </c:pt>
            </c:strLit>
          </c:cat>
          <c:val>
            <c:numLit>
              <c:formatCode>General</c:formatCode>
              <c:ptCount val="5"/>
              <c:pt idx="0">
                <c:v>971</c:v>
              </c:pt>
              <c:pt idx="1">
                <c:v>693</c:v>
              </c:pt>
              <c:pt idx="2">
                <c:v>395</c:v>
              </c:pt>
              <c:pt idx="3">
                <c:v>202</c:v>
              </c:pt>
              <c:pt idx="4">
                <c:v>125</c:v>
              </c:pt>
            </c:numLit>
          </c:val>
          <c:extLst>
            <c:ext xmlns:c16="http://schemas.microsoft.com/office/drawing/2014/chart" uri="{C3380CC4-5D6E-409C-BE32-E72D297353CC}">
              <c16:uniqueId val="{00000009-5298-48E8-8BFD-7A0F7A052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orientation="landscape" horizontalDpi="120" verticalDpi="144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19050</xdr:colOff>
      <xdr:row>8</xdr:row>
      <xdr:rowOff>28575</xdr:rowOff>
    </xdr:from>
    <xdr:to>
      <xdr:col>30</xdr:col>
      <xdr:colOff>723899</xdr:colOff>
      <xdr:row>23</xdr:row>
      <xdr:rowOff>57150</xdr:rowOff>
    </xdr:to>
    <xdr:grpSp>
      <xdr:nvGrpSpPr>
        <xdr:cNvPr id="6" name="grafico" hidden="1"/>
        <xdr:cNvGrpSpPr/>
      </xdr:nvGrpSpPr>
      <xdr:grpSpPr>
        <a:xfrm>
          <a:off x="6867525" y="1209675"/>
          <a:ext cx="4514849" cy="2524125"/>
          <a:chOff x="6867525" y="1209675"/>
          <a:chExt cx="4514849" cy="2524125"/>
        </a:xfrm>
      </xdr:grpSpPr>
      <xdr:graphicFrame macro="">
        <xdr:nvGraphicFramePr>
          <xdr:cNvPr id="2" name="Gráfico 7" hidden="1"/>
          <xdr:cNvGraphicFramePr>
            <a:graphicFrameLocks/>
          </xdr:cNvGraphicFramePr>
        </xdr:nvGraphicFramePr>
        <xdr:xfrm>
          <a:off x="6867525" y="1209675"/>
          <a:ext cx="4514849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2 CuadroTexto" hidden="1"/>
          <xdr:cNvSpPr txBox="1"/>
        </xdr:nvSpPr>
        <xdr:spPr>
          <a:xfrm>
            <a:off x="6962775" y="3495674"/>
            <a:ext cx="2057400" cy="2095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800" b="1">
                <a:latin typeface="Arial Narrow" panose="020B0606020202030204" pitchFamily="34" charset="0"/>
              </a:rPr>
              <a:t>Fuente: Dirección Regional de Educación - Ica.</a:t>
            </a:r>
          </a:p>
        </xdr:txBody>
      </xdr:sp>
    </xdr:grpSp>
    <xdr:clientData/>
  </xdr:twoCellAnchor>
  <xdr:twoCellAnchor editAs="oneCell">
    <xdr:from>
      <xdr:col>25</xdr:col>
      <xdr:colOff>9525</xdr:colOff>
      <xdr:row>2</xdr:row>
      <xdr:rowOff>66675</xdr:rowOff>
    </xdr:from>
    <xdr:to>
      <xdr:col>26</xdr:col>
      <xdr:colOff>686522</xdr:colOff>
      <xdr:row>6</xdr:row>
      <xdr:rowOff>33075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71475"/>
          <a:ext cx="1438997" cy="576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7124</xdr:colOff>
      <xdr:row>2</xdr:row>
      <xdr:rowOff>64275</xdr:rowOff>
    </xdr:from>
    <xdr:to>
      <xdr:col>26</xdr:col>
      <xdr:colOff>685799</xdr:colOff>
      <xdr:row>6</xdr:row>
      <xdr:rowOff>30675</xdr:rowOff>
    </xdr:to>
    <xdr:pic macro="[0]!Imagenes">
      <xdr:nvPicPr>
        <xdr:cNvPr id="5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599" y="369075"/>
          <a:ext cx="1440675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59"/>
  <sheetViews>
    <sheetView showGridLines="0" tabSelected="1" zoomScaleNormal="100" workbookViewId="0"/>
  </sheetViews>
  <sheetFormatPr baseColWidth="10" defaultRowHeight="12.75" customHeight="1" x14ac:dyDescent="0.2"/>
  <cols>
    <col min="1" max="1" width="1.7109375" customWidth="1"/>
    <col min="2" max="2" width="20.7109375" customWidth="1"/>
    <col min="3" max="7" width="4.5703125" customWidth="1"/>
    <col min="8" max="8" width="5.28515625" hidden="1" customWidth="1"/>
    <col min="9" max="11" width="5" hidden="1" customWidth="1"/>
    <col min="12" max="12" width="5.28515625" hidden="1" customWidth="1"/>
    <col min="13" max="13" width="0.85546875" customWidth="1"/>
    <col min="14" max="18" width="4.42578125" customWidth="1"/>
    <col min="19" max="19" width="0.85546875" customWidth="1"/>
    <col min="20" max="24" width="4.42578125" customWidth="1"/>
    <col min="25" max="25" width="11.42578125" customWidth="1"/>
  </cols>
  <sheetData>
    <row r="1" spans="1:25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5" ht="15" customHeight="1" x14ac:dyDescent="0.25">
      <c r="A2" s="2"/>
      <c r="B2" s="44" t="s">
        <v>26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25"/>
      <c r="T2" s="4"/>
      <c r="U2" s="4"/>
      <c r="V2" s="4"/>
      <c r="W2" s="4"/>
      <c r="X2" s="2"/>
    </row>
    <row r="3" spans="1:25" ht="6" customHeight="1" x14ac:dyDescent="0.25">
      <c r="A3" s="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4"/>
      <c r="U3" s="4"/>
      <c r="V3" s="4"/>
      <c r="W3" s="4"/>
      <c r="X3" s="2"/>
    </row>
    <row r="4" spans="1:25" ht="18" customHeight="1" x14ac:dyDescent="0.25">
      <c r="A4" s="2"/>
      <c r="B4" s="26" t="s">
        <v>4</v>
      </c>
      <c r="C4" s="46" t="s">
        <v>6</v>
      </c>
      <c r="D4" s="45"/>
      <c r="E4" s="45"/>
      <c r="F4" s="45"/>
      <c r="G4" s="45"/>
      <c r="H4" s="6"/>
      <c r="I4" s="6"/>
      <c r="J4" s="7"/>
      <c r="K4" s="6"/>
      <c r="L4" s="6" t="s">
        <v>0</v>
      </c>
      <c r="M4" s="30"/>
      <c r="N4" s="45" t="s">
        <v>12</v>
      </c>
      <c r="O4" s="45"/>
      <c r="P4" s="45"/>
      <c r="Q4" s="45"/>
      <c r="R4" s="45"/>
      <c r="S4" s="31"/>
      <c r="T4" s="45" t="s">
        <v>13</v>
      </c>
      <c r="U4" s="45"/>
      <c r="V4" s="45"/>
      <c r="W4" s="45"/>
      <c r="X4" s="45"/>
    </row>
    <row r="5" spans="1:25" ht="18" customHeight="1" x14ac:dyDescent="0.25">
      <c r="A5" s="2"/>
      <c r="B5" s="32" t="s">
        <v>5</v>
      </c>
      <c r="C5" s="27">
        <v>2017</v>
      </c>
      <c r="D5" s="27">
        <v>2018</v>
      </c>
      <c r="E5" s="27">
        <v>2019</v>
      </c>
      <c r="F5" s="27">
        <v>2020</v>
      </c>
      <c r="G5" s="27">
        <v>2021</v>
      </c>
      <c r="H5" s="28">
        <v>1995</v>
      </c>
      <c r="I5" s="28">
        <v>1996</v>
      </c>
      <c r="J5" s="27">
        <v>1998</v>
      </c>
      <c r="K5" s="27">
        <v>2000</v>
      </c>
      <c r="L5" s="27">
        <v>1999</v>
      </c>
      <c r="M5" s="27"/>
      <c r="N5" s="27">
        <v>2017</v>
      </c>
      <c r="O5" s="27">
        <v>2018</v>
      </c>
      <c r="P5" s="27">
        <v>2019</v>
      </c>
      <c r="Q5" s="27">
        <v>2020</v>
      </c>
      <c r="R5" s="27">
        <v>2021</v>
      </c>
      <c r="S5" s="27"/>
      <c r="T5" s="27">
        <v>2017</v>
      </c>
      <c r="U5" s="27">
        <v>2018</v>
      </c>
      <c r="V5" s="27">
        <v>2019</v>
      </c>
      <c r="W5" s="27">
        <v>2020</v>
      </c>
      <c r="X5" s="27">
        <v>2021</v>
      </c>
    </row>
    <row r="6" spans="1:25" ht="6" customHeight="1" x14ac:dyDescent="0.25">
      <c r="A6" s="2"/>
      <c r="B6" s="19"/>
      <c r="C6" s="3"/>
      <c r="D6" s="3"/>
      <c r="E6" s="3"/>
      <c r="F6" s="3"/>
      <c r="G6" s="3"/>
      <c r="H6" s="8"/>
      <c r="I6" s="8"/>
      <c r="J6" s="8"/>
      <c r="K6" s="8"/>
      <c r="L6" s="8"/>
      <c r="M6" s="8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43">
        <v>2</v>
      </c>
    </row>
    <row r="7" spans="1:25" ht="15" customHeight="1" x14ac:dyDescent="0.25">
      <c r="A7" s="2"/>
      <c r="B7" s="29" t="s">
        <v>6</v>
      </c>
      <c r="C7" s="37">
        <f t="shared" ref="C7:C23" si="0">SUM(N7,T7,C34,N34,T34,)</f>
        <v>2394</v>
      </c>
      <c r="D7" s="37">
        <f t="shared" ref="D7:D23" si="1">SUM(O7,U7,D34,O34,U34,)</f>
        <v>2385</v>
      </c>
      <c r="E7" s="37">
        <f t="shared" ref="E7:E24" si="2">SUM(P7,V7,E34,P34,V34,)</f>
        <v>2429</v>
      </c>
      <c r="F7" s="37">
        <f t="shared" ref="F7:F24" si="3">SUM(Q7,W7,F34,Q34,W34,)</f>
        <v>2404</v>
      </c>
      <c r="G7" s="37">
        <f t="shared" ref="G7:G23" si="4">SUM(R7,X7,G34,R34,X34,)</f>
        <v>2386</v>
      </c>
      <c r="H7" s="37" t="e">
        <f>H9+H21+#REF!</f>
        <v>#REF!</v>
      </c>
      <c r="I7" s="37" t="e">
        <f>I9+I21+#REF!</f>
        <v>#REF!</v>
      </c>
      <c r="J7" s="37" t="e">
        <f>J9+J21+#REF!</f>
        <v>#REF!</v>
      </c>
      <c r="K7" s="37" t="e">
        <f>K9+K21+#REF!</f>
        <v>#REF!</v>
      </c>
      <c r="L7" s="37" t="e">
        <f>L9+L21+#REF!</f>
        <v>#REF!</v>
      </c>
      <c r="M7" s="37"/>
      <c r="N7" s="37">
        <f>N9+N21</f>
        <v>975</v>
      </c>
      <c r="O7" s="37">
        <f>O9+O21</f>
        <v>966</v>
      </c>
      <c r="P7" s="37">
        <f>P9+P21</f>
        <v>982</v>
      </c>
      <c r="Q7" s="37">
        <f>Q9+Q21</f>
        <v>978</v>
      </c>
      <c r="R7" s="37">
        <f>R9+R21</f>
        <v>971</v>
      </c>
      <c r="S7" s="37"/>
      <c r="T7" s="37">
        <f>T9+T21</f>
        <v>702</v>
      </c>
      <c r="U7" s="37">
        <f>U9+U21</f>
        <v>702</v>
      </c>
      <c r="V7" s="37">
        <f>V9+V21</f>
        <v>719</v>
      </c>
      <c r="W7" s="37">
        <f>W9+W21</f>
        <v>707</v>
      </c>
      <c r="X7" s="37">
        <f>X9+X21</f>
        <v>693</v>
      </c>
    </row>
    <row r="8" spans="1:25" ht="6" customHeight="1" x14ac:dyDescent="0.25">
      <c r="A8" s="2"/>
      <c r="B8" s="20"/>
      <c r="C8" s="37">
        <f t="shared" si="0"/>
        <v>0</v>
      </c>
      <c r="D8" s="37">
        <f t="shared" si="1"/>
        <v>0</v>
      </c>
      <c r="E8" s="37">
        <f t="shared" si="2"/>
        <v>0</v>
      </c>
      <c r="F8" s="37">
        <f t="shared" si="3"/>
        <v>0</v>
      </c>
      <c r="G8" s="37">
        <f t="shared" si="4"/>
        <v>0</v>
      </c>
      <c r="H8" s="38"/>
      <c r="I8" s="38"/>
      <c r="J8" s="38"/>
      <c r="K8" s="38"/>
      <c r="L8" s="38"/>
      <c r="M8" s="38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</row>
    <row r="9" spans="1:25" ht="15" customHeight="1" x14ac:dyDescent="0.25">
      <c r="A9" s="2"/>
      <c r="B9" s="20" t="s">
        <v>7</v>
      </c>
      <c r="C9" s="37">
        <f t="shared" si="0"/>
        <v>1910</v>
      </c>
      <c r="D9" s="37">
        <f t="shared" si="1"/>
        <v>1901</v>
      </c>
      <c r="E9" s="37">
        <f t="shared" si="2"/>
        <v>1940</v>
      </c>
      <c r="F9" s="37">
        <f t="shared" si="3"/>
        <v>1915</v>
      </c>
      <c r="G9" s="37">
        <f t="shared" si="4"/>
        <v>1899</v>
      </c>
      <c r="H9" s="38" t="e">
        <f>SUM(H11:H19)</f>
        <v>#REF!</v>
      </c>
      <c r="I9" s="38" t="e">
        <f>SUM(I11:I19)</f>
        <v>#REF!</v>
      </c>
      <c r="J9" s="38" t="e">
        <f>SUM(J11:J19)</f>
        <v>#REF!</v>
      </c>
      <c r="K9" s="38">
        <f>SUM(K11:K19)</f>
        <v>532</v>
      </c>
      <c r="L9" s="38">
        <f>SUM(L11:L19)</f>
        <v>0</v>
      </c>
      <c r="M9" s="38"/>
      <c r="N9" s="38">
        <f>SUM(N11:N19)</f>
        <v>746</v>
      </c>
      <c r="O9" s="38">
        <f>SUM(O11:O19)</f>
        <v>737</v>
      </c>
      <c r="P9" s="38">
        <f>SUM(P11:P19)</f>
        <v>752</v>
      </c>
      <c r="Q9" s="38">
        <f>SUM(Q11:Q19)</f>
        <v>748</v>
      </c>
      <c r="R9" s="38">
        <f>SUM(R11:R19)</f>
        <v>743</v>
      </c>
      <c r="S9" s="38"/>
      <c r="T9" s="38">
        <f>SUM(T11:T19)</f>
        <v>560</v>
      </c>
      <c r="U9" s="38">
        <f>SUM(U11:U19)</f>
        <v>560</v>
      </c>
      <c r="V9" s="38">
        <f>SUM(V11:V19)</f>
        <v>576</v>
      </c>
      <c r="W9" s="38">
        <f>SUM(W11:W19)</f>
        <v>564</v>
      </c>
      <c r="X9" s="38">
        <f>SUM(X11:X19)</f>
        <v>550</v>
      </c>
    </row>
    <row r="10" spans="1:25" ht="4.5" customHeight="1" x14ac:dyDescent="0.25">
      <c r="A10" s="2"/>
      <c r="B10" s="21"/>
      <c r="C10" s="9">
        <f t="shared" si="0"/>
        <v>0</v>
      </c>
      <c r="D10" s="9">
        <f t="shared" si="1"/>
        <v>0</v>
      </c>
      <c r="E10" s="9">
        <f t="shared" si="2"/>
        <v>0</v>
      </c>
      <c r="F10" s="9">
        <f t="shared" si="3"/>
        <v>0</v>
      </c>
      <c r="G10" s="9">
        <f t="shared" si="4"/>
        <v>0</v>
      </c>
      <c r="H10" s="10"/>
      <c r="I10" s="10"/>
      <c r="J10" s="10"/>
      <c r="K10" s="10"/>
      <c r="L10" s="10"/>
      <c r="M10" s="10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5" ht="15" customHeight="1" x14ac:dyDescent="0.25">
      <c r="A11" s="2"/>
      <c r="B11" s="21" t="s">
        <v>8</v>
      </c>
      <c r="C11" s="9">
        <f t="shared" si="0"/>
        <v>815</v>
      </c>
      <c r="D11" s="9">
        <f t="shared" si="1"/>
        <v>815</v>
      </c>
      <c r="E11" s="9">
        <f t="shared" si="2"/>
        <v>821</v>
      </c>
      <c r="F11" s="9">
        <f t="shared" si="3"/>
        <v>810</v>
      </c>
      <c r="G11" s="9">
        <f t="shared" si="4"/>
        <v>798</v>
      </c>
      <c r="H11" s="10" t="e">
        <f>#REF!+Y11+H38+#REF!+Y38</f>
        <v>#REF!</v>
      </c>
      <c r="I11" s="10" t="e">
        <f>#REF!+Z11+I38+#REF!+Z38</f>
        <v>#REF!</v>
      </c>
      <c r="J11" s="10" t="e">
        <f>#REF!+AA11+J38+#REF!+AA38</f>
        <v>#REF!</v>
      </c>
      <c r="K11" s="10">
        <v>182</v>
      </c>
      <c r="L11" s="10"/>
      <c r="M11" s="10"/>
      <c r="N11" s="12">
        <v>318</v>
      </c>
      <c r="O11" s="12">
        <v>319</v>
      </c>
      <c r="P11" s="12">
        <v>323</v>
      </c>
      <c r="Q11" s="12">
        <v>320</v>
      </c>
      <c r="R11" s="12">
        <v>318</v>
      </c>
      <c r="S11" s="12"/>
      <c r="T11" s="13">
        <v>233</v>
      </c>
      <c r="U11" s="13">
        <v>234</v>
      </c>
      <c r="V11" s="13">
        <v>236</v>
      </c>
      <c r="W11" s="13">
        <v>233</v>
      </c>
      <c r="X11" s="13">
        <v>223</v>
      </c>
    </row>
    <row r="12" spans="1:25" ht="15" customHeight="1" x14ac:dyDescent="0.25">
      <c r="A12" s="2"/>
      <c r="B12" s="21" t="s">
        <v>18</v>
      </c>
      <c r="C12" s="9">
        <f t="shared" si="0"/>
        <v>655</v>
      </c>
      <c r="D12" s="9">
        <f t="shared" si="1"/>
        <v>665</v>
      </c>
      <c r="E12" s="9">
        <f t="shared" si="2"/>
        <v>669</v>
      </c>
      <c r="F12" s="9">
        <f t="shared" si="3"/>
        <v>664</v>
      </c>
      <c r="G12" s="9">
        <f t="shared" si="4"/>
        <v>656</v>
      </c>
      <c r="H12" s="10">
        <v>207</v>
      </c>
      <c r="I12" s="10">
        <v>211</v>
      </c>
      <c r="J12" s="10">
        <v>216</v>
      </c>
      <c r="K12" s="10">
        <v>234</v>
      </c>
      <c r="L12" s="10"/>
      <c r="M12" s="10"/>
      <c r="N12" s="12">
        <v>243</v>
      </c>
      <c r="O12" s="12">
        <v>245</v>
      </c>
      <c r="P12" s="12">
        <v>245</v>
      </c>
      <c r="Q12" s="12">
        <v>244</v>
      </c>
      <c r="R12" s="12">
        <v>240</v>
      </c>
      <c r="S12" s="12"/>
      <c r="T12" s="13">
        <v>207</v>
      </c>
      <c r="U12" s="13">
        <v>210</v>
      </c>
      <c r="V12" s="13">
        <v>214</v>
      </c>
      <c r="W12" s="13">
        <v>211</v>
      </c>
      <c r="X12" s="13">
        <v>206</v>
      </c>
    </row>
    <row r="13" spans="1:25" ht="15" customHeight="1" x14ac:dyDescent="0.25">
      <c r="A13" s="2"/>
      <c r="B13" s="21" t="s">
        <v>22</v>
      </c>
      <c r="C13" s="9">
        <f t="shared" si="0"/>
        <v>264</v>
      </c>
      <c r="D13" s="9">
        <f t="shared" si="1"/>
        <v>269</v>
      </c>
      <c r="E13" s="9">
        <f t="shared" si="2"/>
        <v>273</v>
      </c>
      <c r="F13" s="9">
        <f t="shared" si="3"/>
        <v>272</v>
      </c>
      <c r="G13" s="9">
        <f t="shared" si="4"/>
        <v>274</v>
      </c>
      <c r="H13" s="10">
        <v>54</v>
      </c>
      <c r="I13" s="10">
        <v>56</v>
      </c>
      <c r="J13" s="10">
        <v>57</v>
      </c>
      <c r="K13" s="10">
        <v>64</v>
      </c>
      <c r="L13" s="10"/>
      <c r="M13" s="10"/>
      <c r="N13" s="12">
        <v>107</v>
      </c>
      <c r="O13" s="12">
        <v>108</v>
      </c>
      <c r="P13" s="12">
        <v>109</v>
      </c>
      <c r="Q13" s="12">
        <v>109</v>
      </c>
      <c r="R13" s="12">
        <v>110</v>
      </c>
      <c r="S13" s="12"/>
      <c r="T13" s="13">
        <v>74</v>
      </c>
      <c r="U13" s="13">
        <v>77</v>
      </c>
      <c r="V13" s="13">
        <v>78</v>
      </c>
      <c r="W13" s="13">
        <v>76</v>
      </c>
      <c r="X13" s="13">
        <v>75</v>
      </c>
    </row>
    <row r="14" spans="1:25" ht="15" customHeight="1" x14ac:dyDescent="0.25">
      <c r="A14" s="2"/>
      <c r="B14" s="21" t="s">
        <v>9</v>
      </c>
      <c r="C14" s="9">
        <f t="shared" si="0"/>
        <v>58</v>
      </c>
      <c r="D14" s="9">
        <f t="shared" si="1"/>
        <v>40</v>
      </c>
      <c r="E14" s="9">
        <f t="shared" si="2"/>
        <v>62</v>
      </c>
      <c r="F14" s="9">
        <f t="shared" si="3"/>
        <v>62</v>
      </c>
      <c r="G14" s="9">
        <f t="shared" si="4"/>
        <v>64</v>
      </c>
      <c r="H14" s="10"/>
      <c r="I14" s="10"/>
      <c r="J14" s="10"/>
      <c r="K14" s="10"/>
      <c r="L14" s="10"/>
      <c r="M14" s="10"/>
      <c r="N14" s="12">
        <v>23</v>
      </c>
      <c r="O14" s="12">
        <v>14</v>
      </c>
      <c r="P14" s="12">
        <v>22</v>
      </c>
      <c r="Q14" s="12">
        <v>22</v>
      </c>
      <c r="R14" s="12">
        <v>23</v>
      </c>
      <c r="S14" s="12"/>
      <c r="T14" s="13">
        <v>18</v>
      </c>
      <c r="U14" s="13">
        <v>12</v>
      </c>
      <c r="V14" s="13">
        <v>19</v>
      </c>
      <c r="W14" s="13">
        <v>19</v>
      </c>
      <c r="X14" s="13">
        <v>20</v>
      </c>
    </row>
    <row r="15" spans="1:25" ht="15" customHeight="1" x14ac:dyDescent="0.25">
      <c r="A15" s="2"/>
      <c r="B15" s="21" t="s">
        <v>10</v>
      </c>
      <c r="C15" s="9">
        <f t="shared" si="0"/>
        <v>18</v>
      </c>
      <c r="D15" s="9">
        <f t="shared" si="1"/>
        <v>16</v>
      </c>
      <c r="E15" s="9">
        <f t="shared" si="2"/>
        <v>16</v>
      </c>
      <c r="F15" s="9">
        <f t="shared" si="3"/>
        <v>16</v>
      </c>
      <c r="G15" s="9">
        <f t="shared" si="4"/>
        <v>16</v>
      </c>
      <c r="H15" s="10">
        <v>6</v>
      </c>
      <c r="I15" s="10">
        <v>6</v>
      </c>
      <c r="J15" s="10">
        <v>6</v>
      </c>
      <c r="K15" s="10">
        <v>7</v>
      </c>
      <c r="L15" s="10"/>
      <c r="M15" s="10"/>
      <c r="N15" s="12">
        <v>4</v>
      </c>
      <c r="O15" s="12">
        <v>3</v>
      </c>
      <c r="P15" s="12">
        <v>3</v>
      </c>
      <c r="Q15" s="12">
        <v>3</v>
      </c>
      <c r="R15" s="12">
        <v>3</v>
      </c>
      <c r="S15" s="12"/>
      <c r="T15" s="13">
        <v>3</v>
      </c>
      <c r="U15" s="13">
        <v>3</v>
      </c>
      <c r="V15" s="13">
        <v>4</v>
      </c>
      <c r="W15" s="13">
        <v>4</v>
      </c>
      <c r="X15" s="13">
        <v>4</v>
      </c>
    </row>
    <row r="16" spans="1:25" ht="15" customHeight="1" x14ac:dyDescent="0.25">
      <c r="A16" s="2"/>
      <c r="B16" s="21" t="s">
        <v>19</v>
      </c>
      <c r="C16" s="9">
        <f t="shared" si="0"/>
        <v>9</v>
      </c>
      <c r="D16" s="9">
        <f t="shared" si="1"/>
        <v>8</v>
      </c>
      <c r="E16" s="9">
        <f t="shared" si="2"/>
        <v>8</v>
      </c>
      <c r="F16" s="9">
        <f t="shared" si="3"/>
        <v>8</v>
      </c>
      <c r="G16" s="9">
        <f t="shared" si="4"/>
        <v>8</v>
      </c>
      <c r="H16" s="10">
        <v>5</v>
      </c>
      <c r="I16" s="10">
        <v>5</v>
      </c>
      <c r="J16" s="10">
        <v>5</v>
      </c>
      <c r="K16" s="10">
        <v>5</v>
      </c>
      <c r="L16" s="10"/>
      <c r="M16" s="10"/>
      <c r="N16" s="12">
        <v>5</v>
      </c>
      <c r="O16" s="12">
        <v>4</v>
      </c>
      <c r="P16" s="12">
        <v>4</v>
      </c>
      <c r="Q16" s="12">
        <v>4</v>
      </c>
      <c r="R16" s="12">
        <v>4</v>
      </c>
      <c r="S16" s="12"/>
      <c r="T16" s="13">
        <v>1</v>
      </c>
      <c r="U16" s="13">
        <v>1</v>
      </c>
      <c r="V16" s="13">
        <v>1</v>
      </c>
      <c r="W16" s="13">
        <v>1</v>
      </c>
      <c r="X16" s="13">
        <v>1</v>
      </c>
    </row>
    <row r="17" spans="1:31" ht="15" customHeight="1" x14ac:dyDescent="0.25">
      <c r="A17" s="2"/>
      <c r="B17" s="21" t="s">
        <v>20</v>
      </c>
      <c r="C17" s="9">
        <f t="shared" si="0"/>
        <v>30</v>
      </c>
      <c r="D17" s="9">
        <f t="shared" si="1"/>
        <v>29</v>
      </c>
      <c r="E17" s="9">
        <f t="shared" si="2"/>
        <v>29</v>
      </c>
      <c r="F17" s="9">
        <f t="shared" si="3"/>
        <v>28</v>
      </c>
      <c r="G17" s="9">
        <f t="shared" si="4"/>
        <v>27</v>
      </c>
      <c r="H17" s="10">
        <v>7</v>
      </c>
      <c r="I17" s="10">
        <v>8</v>
      </c>
      <c r="J17" s="10">
        <v>10</v>
      </c>
      <c r="K17" s="10">
        <v>11</v>
      </c>
      <c r="L17" s="10"/>
      <c r="M17" s="10"/>
      <c r="N17" s="12">
        <v>14</v>
      </c>
      <c r="O17" s="12">
        <v>14</v>
      </c>
      <c r="P17" s="12">
        <v>13</v>
      </c>
      <c r="Q17" s="12">
        <v>13</v>
      </c>
      <c r="R17" s="12">
        <v>12</v>
      </c>
      <c r="S17" s="12"/>
      <c r="T17" s="13">
        <v>9</v>
      </c>
      <c r="U17" s="13">
        <v>8</v>
      </c>
      <c r="V17" s="13">
        <v>9</v>
      </c>
      <c r="W17" s="13">
        <v>8</v>
      </c>
      <c r="X17" s="13">
        <v>8</v>
      </c>
    </row>
    <row r="18" spans="1:31" ht="15" customHeight="1" x14ac:dyDescent="0.25">
      <c r="A18" s="2"/>
      <c r="B18" s="21" t="s">
        <v>21</v>
      </c>
      <c r="C18" s="9">
        <f t="shared" si="0"/>
        <v>2</v>
      </c>
      <c r="D18" s="9">
        <f t="shared" si="1"/>
        <v>2</v>
      </c>
      <c r="E18" s="9">
        <f t="shared" si="2"/>
        <v>2</v>
      </c>
      <c r="F18" s="9">
        <f t="shared" si="3"/>
        <v>2</v>
      </c>
      <c r="G18" s="9">
        <f t="shared" si="4"/>
        <v>2</v>
      </c>
      <c r="H18" s="10">
        <v>2</v>
      </c>
      <c r="I18" s="10">
        <v>2</v>
      </c>
      <c r="J18" s="10">
        <v>2</v>
      </c>
      <c r="K18" s="10">
        <v>2</v>
      </c>
      <c r="L18" s="10"/>
      <c r="M18" s="10"/>
      <c r="N18" s="12">
        <v>2</v>
      </c>
      <c r="O18" s="12">
        <v>2</v>
      </c>
      <c r="P18" s="12">
        <v>2</v>
      </c>
      <c r="Q18" s="12">
        <v>2</v>
      </c>
      <c r="R18" s="12">
        <v>2</v>
      </c>
      <c r="S18" s="12"/>
      <c r="T18" s="14" t="s">
        <v>3</v>
      </c>
      <c r="U18" s="14" t="s">
        <v>3</v>
      </c>
      <c r="V18" s="14" t="s">
        <v>3</v>
      </c>
      <c r="W18" s="14" t="s">
        <v>3</v>
      </c>
      <c r="X18" s="14" t="s">
        <v>3</v>
      </c>
    </row>
    <row r="19" spans="1:31" ht="15" customHeight="1" x14ac:dyDescent="0.25">
      <c r="A19" s="2"/>
      <c r="B19" s="21" t="s">
        <v>23</v>
      </c>
      <c r="C19" s="9">
        <f t="shared" si="0"/>
        <v>59</v>
      </c>
      <c r="D19" s="9">
        <f t="shared" si="1"/>
        <v>57</v>
      </c>
      <c r="E19" s="9">
        <f t="shared" si="2"/>
        <v>60</v>
      </c>
      <c r="F19" s="9">
        <f t="shared" si="3"/>
        <v>53</v>
      </c>
      <c r="G19" s="9">
        <f t="shared" si="4"/>
        <v>54</v>
      </c>
      <c r="H19" s="10">
        <v>40</v>
      </c>
      <c r="I19" s="10">
        <v>32</v>
      </c>
      <c r="J19" s="10">
        <v>28</v>
      </c>
      <c r="K19" s="10">
        <v>27</v>
      </c>
      <c r="L19" s="10"/>
      <c r="M19" s="10"/>
      <c r="N19" s="12">
        <v>30</v>
      </c>
      <c r="O19" s="12">
        <v>28</v>
      </c>
      <c r="P19" s="12">
        <v>31</v>
      </c>
      <c r="Q19" s="12">
        <v>31</v>
      </c>
      <c r="R19" s="12">
        <v>31</v>
      </c>
      <c r="S19" s="12"/>
      <c r="T19" s="13">
        <v>15</v>
      </c>
      <c r="U19" s="13">
        <v>15</v>
      </c>
      <c r="V19" s="13">
        <v>15</v>
      </c>
      <c r="W19" s="13">
        <v>12</v>
      </c>
      <c r="X19" s="13">
        <v>13</v>
      </c>
    </row>
    <row r="20" spans="1:31" ht="6" customHeight="1" x14ac:dyDescent="0.25">
      <c r="A20" s="2"/>
      <c r="B20" s="21"/>
      <c r="C20" s="9">
        <f t="shared" si="0"/>
        <v>0</v>
      </c>
      <c r="D20" s="9">
        <f t="shared" si="1"/>
        <v>0</v>
      </c>
      <c r="E20" s="9">
        <f t="shared" si="2"/>
        <v>0</v>
      </c>
      <c r="F20" s="9">
        <f t="shared" si="3"/>
        <v>0</v>
      </c>
      <c r="G20" s="9">
        <f t="shared" si="4"/>
        <v>0</v>
      </c>
      <c r="H20" s="10"/>
      <c r="I20" s="10"/>
      <c r="J20" s="10"/>
      <c r="K20" s="10"/>
      <c r="L20" s="10"/>
      <c r="M20" s="10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31" ht="15" customHeight="1" x14ac:dyDescent="0.25">
      <c r="A21" s="2"/>
      <c r="B21" s="20" t="s">
        <v>11</v>
      </c>
      <c r="C21" s="37">
        <f t="shared" si="0"/>
        <v>484</v>
      </c>
      <c r="D21" s="37">
        <f t="shared" si="1"/>
        <v>484</v>
      </c>
      <c r="E21" s="37">
        <f t="shared" si="2"/>
        <v>489</v>
      </c>
      <c r="F21" s="37">
        <f t="shared" si="3"/>
        <v>489</v>
      </c>
      <c r="G21" s="37">
        <f t="shared" si="4"/>
        <v>487</v>
      </c>
      <c r="H21" s="38" t="e">
        <f>H23+#REF!</f>
        <v>#REF!</v>
      </c>
      <c r="I21" s="38" t="e">
        <f>I23+#REF!</f>
        <v>#REF!</v>
      </c>
      <c r="J21" s="38" t="e">
        <f>J23+#REF!</f>
        <v>#REF!</v>
      </c>
      <c r="K21" s="38" t="e">
        <f>K23+#REF!</f>
        <v>#REF!</v>
      </c>
      <c r="L21" s="38"/>
      <c r="M21" s="38"/>
      <c r="N21" s="38">
        <f>N23</f>
        <v>229</v>
      </c>
      <c r="O21" s="38">
        <f>O23</f>
        <v>229</v>
      </c>
      <c r="P21" s="38">
        <f>P23+P24</f>
        <v>230</v>
      </c>
      <c r="Q21" s="38">
        <f>Q23+Q24</f>
        <v>230</v>
      </c>
      <c r="R21" s="38">
        <f>R23+R24</f>
        <v>228</v>
      </c>
      <c r="S21" s="38"/>
      <c r="T21" s="38">
        <f>T23</f>
        <v>142</v>
      </c>
      <c r="U21" s="38">
        <f>U23</f>
        <v>142</v>
      </c>
      <c r="V21" s="38">
        <f>V23+V24</f>
        <v>143</v>
      </c>
      <c r="W21" s="38">
        <f>W23+W24</f>
        <v>143</v>
      </c>
      <c r="X21" s="38">
        <f>X23+X24</f>
        <v>143</v>
      </c>
    </row>
    <row r="22" spans="1:31" ht="6" customHeight="1" x14ac:dyDescent="0.25">
      <c r="A22" s="2"/>
      <c r="B22" s="21"/>
      <c r="C22" s="9">
        <f t="shared" si="0"/>
        <v>0</v>
      </c>
      <c r="D22" s="9">
        <f t="shared" si="1"/>
        <v>0</v>
      </c>
      <c r="E22" s="9">
        <f t="shared" si="2"/>
        <v>0</v>
      </c>
      <c r="F22" s="9">
        <f t="shared" si="3"/>
        <v>0</v>
      </c>
      <c r="G22" s="9">
        <f t="shared" si="4"/>
        <v>0</v>
      </c>
      <c r="H22" s="10"/>
      <c r="I22" s="10"/>
      <c r="J22" s="10"/>
      <c r="K22" s="10"/>
      <c r="L22" s="10"/>
      <c r="M22" s="10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31" ht="15" customHeight="1" x14ac:dyDescent="0.25">
      <c r="A23" s="2"/>
      <c r="B23" s="21" t="s">
        <v>24</v>
      </c>
      <c r="C23" s="9">
        <f t="shared" si="0"/>
        <v>484</v>
      </c>
      <c r="D23" s="9">
        <f t="shared" si="1"/>
        <v>484</v>
      </c>
      <c r="E23" s="9">
        <f t="shared" si="2"/>
        <v>484</v>
      </c>
      <c r="F23" s="9">
        <f t="shared" si="3"/>
        <v>484</v>
      </c>
      <c r="G23" s="9">
        <f t="shared" si="4"/>
        <v>482</v>
      </c>
      <c r="H23" s="10">
        <v>227</v>
      </c>
      <c r="I23" s="10">
        <v>0</v>
      </c>
      <c r="J23" s="10">
        <v>199</v>
      </c>
      <c r="K23" s="10">
        <v>223</v>
      </c>
      <c r="L23" s="10"/>
      <c r="M23" s="10"/>
      <c r="N23" s="12">
        <v>229</v>
      </c>
      <c r="O23" s="12">
        <v>229</v>
      </c>
      <c r="P23" s="12">
        <v>229</v>
      </c>
      <c r="Q23" s="12">
        <v>229</v>
      </c>
      <c r="R23" s="12">
        <v>227</v>
      </c>
      <c r="S23" s="12"/>
      <c r="T23" s="13">
        <v>142</v>
      </c>
      <c r="U23" s="13">
        <v>142</v>
      </c>
      <c r="V23" s="13">
        <v>142</v>
      </c>
      <c r="W23" s="13">
        <v>142</v>
      </c>
      <c r="X23" s="13">
        <v>142</v>
      </c>
    </row>
    <row r="24" spans="1:31" ht="15" customHeight="1" x14ac:dyDescent="0.25">
      <c r="A24" s="2"/>
      <c r="B24" s="21" t="s">
        <v>25</v>
      </c>
      <c r="C24" s="14" t="s">
        <v>3</v>
      </c>
      <c r="D24" s="14" t="s">
        <v>3</v>
      </c>
      <c r="E24" s="9">
        <f t="shared" si="2"/>
        <v>5</v>
      </c>
      <c r="F24" s="9">
        <f t="shared" si="3"/>
        <v>5</v>
      </c>
      <c r="G24" s="9">
        <f>SUM(R24,X24,G51,R51,X51,)</f>
        <v>5</v>
      </c>
      <c r="H24" s="10"/>
      <c r="I24" s="10"/>
      <c r="J24" s="10"/>
      <c r="K24" s="10"/>
      <c r="L24" s="10"/>
      <c r="M24" s="10"/>
      <c r="N24" s="14" t="s">
        <v>3</v>
      </c>
      <c r="O24" s="14" t="s">
        <v>3</v>
      </c>
      <c r="P24" s="12">
        <v>1</v>
      </c>
      <c r="Q24" s="12">
        <v>1</v>
      </c>
      <c r="R24" s="12">
        <v>1</v>
      </c>
      <c r="S24" s="12"/>
      <c r="T24" s="14" t="s">
        <v>3</v>
      </c>
      <c r="U24" s="14" t="s">
        <v>3</v>
      </c>
      <c r="V24" s="13">
        <v>1</v>
      </c>
      <c r="W24" s="13">
        <v>1</v>
      </c>
      <c r="X24" s="13">
        <v>1</v>
      </c>
    </row>
    <row r="25" spans="1:31" ht="6" customHeight="1" x14ac:dyDescent="0.25">
      <c r="A25" s="2"/>
      <c r="B25" s="2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31" ht="12.75" customHeight="1" x14ac:dyDescent="0.25">
      <c r="A26" s="2"/>
      <c r="B26" s="11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3"/>
      <c r="U26" s="1"/>
      <c r="V26" s="16"/>
      <c r="W26" s="1" t="s">
        <v>1</v>
      </c>
      <c r="X26" s="2"/>
    </row>
    <row r="27" spans="1:31" ht="12.75" customHeight="1" x14ac:dyDescent="0.25">
      <c r="A27" s="2"/>
      <c r="B27" s="11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2"/>
      <c r="U27" s="2"/>
      <c r="V27" s="2"/>
      <c r="W27" s="2"/>
      <c r="X27" s="2"/>
    </row>
    <row r="28" spans="1:31" ht="12" customHeight="1" x14ac:dyDescent="0.25">
      <c r="A28" s="2"/>
      <c r="B28" s="11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2"/>
      <c r="U28" s="2"/>
      <c r="V28" s="2"/>
      <c r="W28" s="2"/>
      <c r="X28" s="2"/>
    </row>
    <row r="29" spans="1:31" ht="15" customHeight="1" x14ac:dyDescent="0.25">
      <c r="A29" s="2"/>
      <c r="B29" s="44" t="s">
        <v>26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25"/>
      <c r="T29" s="4"/>
      <c r="U29" s="4"/>
      <c r="V29" s="4"/>
      <c r="W29" s="4"/>
      <c r="X29" s="2"/>
    </row>
    <row r="30" spans="1:31" ht="9" customHeight="1" x14ac:dyDescent="0.25">
      <c r="A30" s="2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3"/>
      <c r="U30" s="1"/>
      <c r="W30" s="1" t="s">
        <v>2</v>
      </c>
      <c r="X30" s="2"/>
    </row>
    <row r="31" spans="1:31" ht="18" customHeight="1" x14ac:dyDescent="0.25">
      <c r="A31" s="2"/>
      <c r="B31" s="26" t="s">
        <v>4</v>
      </c>
      <c r="C31" s="46" t="s">
        <v>15</v>
      </c>
      <c r="D31" s="45"/>
      <c r="E31" s="45"/>
      <c r="F31" s="45"/>
      <c r="G31" s="45"/>
      <c r="H31" s="6"/>
      <c r="I31" s="6"/>
      <c r="J31" s="7"/>
      <c r="K31" s="6"/>
      <c r="L31" s="6" t="s">
        <v>0</v>
      </c>
      <c r="M31" s="30"/>
      <c r="N31" s="45" t="s">
        <v>16</v>
      </c>
      <c r="O31" s="45"/>
      <c r="P31" s="45"/>
      <c r="Q31" s="45"/>
      <c r="R31" s="45"/>
      <c r="S31" s="31"/>
      <c r="T31" s="45" t="s">
        <v>14</v>
      </c>
      <c r="U31" s="45"/>
      <c r="V31" s="45"/>
      <c r="W31" s="45"/>
      <c r="X31" s="45"/>
      <c r="AB31" s="40"/>
      <c r="AC31" s="41"/>
      <c r="AD31" s="41"/>
      <c r="AE31" s="41"/>
    </row>
    <row r="32" spans="1:31" ht="18" customHeight="1" x14ac:dyDescent="0.25">
      <c r="A32" s="2"/>
      <c r="B32" s="32" t="s">
        <v>5</v>
      </c>
      <c r="C32" s="27">
        <v>2017</v>
      </c>
      <c r="D32" s="27">
        <v>2018</v>
      </c>
      <c r="E32" s="27">
        <v>2019</v>
      </c>
      <c r="F32" s="27">
        <v>2020</v>
      </c>
      <c r="G32" s="27">
        <v>2021</v>
      </c>
      <c r="H32" s="28">
        <v>1995</v>
      </c>
      <c r="I32" s="28">
        <v>1996</v>
      </c>
      <c r="J32" s="27">
        <v>1998</v>
      </c>
      <c r="K32" s="27">
        <v>2000</v>
      </c>
      <c r="L32" s="27">
        <v>1999</v>
      </c>
      <c r="M32" s="27"/>
      <c r="N32" s="27">
        <v>2017</v>
      </c>
      <c r="O32" s="27">
        <v>2018</v>
      </c>
      <c r="P32" s="27">
        <v>2019</v>
      </c>
      <c r="Q32" s="27">
        <v>2020</v>
      </c>
      <c r="R32" s="27">
        <v>2021</v>
      </c>
      <c r="S32" s="27"/>
      <c r="T32" s="27">
        <v>2017</v>
      </c>
      <c r="U32" s="27">
        <v>2018</v>
      </c>
      <c r="V32" s="27">
        <v>2019</v>
      </c>
      <c r="W32" s="27">
        <v>2020</v>
      </c>
      <c r="X32" s="27">
        <v>2021</v>
      </c>
      <c r="AB32" s="40"/>
      <c r="AC32" s="42"/>
      <c r="AD32" s="41"/>
      <c r="AE32" s="41"/>
    </row>
    <row r="33" spans="1:31" ht="6" customHeight="1" x14ac:dyDescent="0.25">
      <c r="A33" s="2"/>
      <c r="B33" s="19"/>
      <c r="C33" s="3"/>
      <c r="D33" s="3"/>
      <c r="E33" s="3"/>
      <c r="F33" s="3"/>
      <c r="G33" s="3"/>
      <c r="H33" s="8"/>
      <c r="I33" s="8"/>
      <c r="J33" s="8"/>
      <c r="K33" s="8"/>
      <c r="L33" s="8"/>
      <c r="M33" s="8"/>
      <c r="N33" s="3"/>
      <c r="O33" s="3"/>
      <c r="P33" s="3"/>
      <c r="Q33" s="3"/>
      <c r="R33" s="3"/>
      <c r="S33" s="3"/>
      <c r="T33" s="33"/>
      <c r="U33" s="33"/>
      <c r="V33" s="33"/>
      <c r="W33" s="33"/>
      <c r="X33" s="33"/>
      <c r="AB33" s="40"/>
      <c r="AC33" s="42"/>
      <c r="AD33" s="41"/>
      <c r="AE33" s="41"/>
    </row>
    <row r="34" spans="1:31" ht="15" customHeight="1" x14ac:dyDescent="0.25">
      <c r="A34" s="2"/>
      <c r="B34" s="29" t="s">
        <v>6</v>
      </c>
      <c r="C34" s="34">
        <f t="shared" ref="C34:F34" si="5">C36+C48</f>
        <v>207</v>
      </c>
      <c r="D34" s="34">
        <f t="shared" si="5"/>
        <v>199</v>
      </c>
      <c r="E34" s="34">
        <f t="shared" si="5"/>
        <v>208</v>
      </c>
      <c r="F34" s="34">
        <f t="shared" si="5"/>
        <v>200</v>
      </c>
      <c r="G34" s="34">
        <f t="shared" ref="G34:L34" si="6">G36+G48</f>
        <v>202</v>
      </c>
      <c r="H34" s="34" t="e">
        <f t="shared" si="6"/>
        <v>#REF!</v>
      </c>
      <c r="I34" s="34" t="e">
        <f t="shared" si="6"/>
        <v>#REF!</v>
      </c>
      <c r="J34" s="34" t="e">
        <f t="shared" si="6"/>
        <v>#REF!</v>
      </c>
      <c r="K34" s="34" t="e">
        <f t="shared" si="6"/>
        <v>#REF!</v>
      </c>
      <c r="L34" s="34" t="e">
        <f t="shared" si="6"/>
        <v>#REF!</v>
      </c>
      <c r="M34" s="34"/>
      <c r="N34" s="34">
        <f>N36+N48</f>
        <v>123</v>
      </c>
      <c r="O34" s="34">
        <f>O36+O48</f>
        <v>125</v>
      </c>
      <c r="P34" s="34">
        <f>P36+P48</f>
        <v>125</v>
      </c>
      <c r="Q34" s="34">
        <f>Q36+Q48</f>
        <v>125</v>
      </c>
      <c r="R34" s="34">
        <f>R36+R48</f>
        <v>125</v>
      </c>
      <c r="S34" s="34"/>
      <c r="T34" s="34">
        <f>T36+T48</f>
        <v>387</v>
      </c>
      <c r="U34" s="34">
        <f>U36+U48</f>
        <v>393</v>
      </c>
      <c r="V34" s="34">
        <f>V36+V48</f>
        <v>395</v>
      </c>
      <c r="W34" s="34">
        <f>W36+W48</f>
        <v>394</v>
      </c>
      <c r="X34" s="34">
        <f>X36+X48</f>
        <v>395</v>
      </c>
      <c r="AB34" s="40"/>
      <c r="AC34" s="42"/>
      <c r="AD34" s="41"/>
      <c r="AE34" s="41"/>
    </row>
    <row r="35" spans="1:31" ht="4.5" customHeight="1" x14ac:dyDescent="0.25">
      <c r="A35" s="2"/>
      <c r="B35" s="20"/>
      <c r="C35" s="35"/>
      <c r="D35" s="35"/>
      <c r="E35" s="35"/>
      <c r="F35" s="35"/>
      <c r="G35" s="35"/>
      <c r="H35" s="36"/>
      <c r="I35" s="36"/>
      <c r="J35" s="36"/>
      <c r="K35" s="36"/>
      <c r="L35" s="36"/>
      <c r="M35" s="36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AB35" s="40"/>
      <c r="AC35" s="42"/>
      <c r="AD35" s="41"/>
      <c r="AE35" s="41"/>
    </row>
    <row r="36" spans="1:31" ht="15" customHeight="1" x14ac:dyDescent="0.25">
      <c r="A36" s="2"/>
      <c r="B36" s="20" t="s">
        <v>7</v>
      </c>
      <c r="C36" s="36">
        <f t="shared" ref="C36:D36" si="7">SUM(C38:C46)</f>
        <v>165</v>
      </c>
      <c r="D36" s="36">
        <f t="shared" si="7"/>
        <v>157</v>
      </c>
      <c r="E36" s="36">
        <f t="shared" ref="E36:F36" si="8">SUM(E38:E46)</f>
        <v>164</v>
      </c>
      <c r="F36" s="36">
        <f t="shared" si="8"/>
        <v>156</v>
      </c>
      <c r="G36" s="36">
        <f t="shared" ref="G36:L36" si="9">SUM(G38:G46)</f>
        <v>158</v>
      </c>
      <c r="H36" s="36">
        <f t="shared" si="9"/>
        <v>102</v>
      </c>
      <c r="I36" s="36">
        <f t="shared" si="9"/>
        <v>99</v>
      </c>
      <c r="J36" s="36">
        <f t="shared" si="9"/>
        <v>89</v>
      </c>
      <c r="K36" s="36">
        <f t="shared" si="9"/>
        <v>94</v>
      </c>
      <c r="L36" s="36">
        <f t="shared" si="9"/>
        <v>0</v>
      </c>
      <c r="M36" s="36"/>
      <c r="N36" s="36">
        <f>SUM(N38:N46)</f>
        <v>97</v>
      </c>
      <c r="O36" s="36">
        <f>SUM(O38:O46)</f>
        <v>99</v>
      </c>
      <c r="P36" s="36">
        <f>SUM(P38:P46)</f>
        <v>99</v>
      </c>
      <c r="Q36" s="36">
        <f>SUM(Q38:Q46)</f>
        <v>99</v>
      </c>
      <c r="R36" s="36">
        <f>SUM(R38:R46)</f>
        <v>99</v>
      </c>
      <c r="S36" s="36"/>
      <c r="T36" s="36">
        <f>SUM(T38:T46)</f>
        <v>342</v>
      </c>
      <c r="U36" s="36">
        <f>SUM(U38:U46)</f>
        <v>348</v>
      </c>
      <c r="V36" s="36">
        <f>SUM(V38:V46)</f>
        <v>349</v>
      </c>
      <c r="W36" s="36">
        <f>SUM(W38:W46)</f>
        <v>348</v>
      </c>
      <c r="X36" s="36">
        <f>SUM(X38:X46)</f>
        <v>349</v>
      </c>
      <c r="AB36" s="40"/>
      <c r="AC36" s="42"/>
      <c r="AD36" s="41"/>
      <c r="AE36" s="41"/>
    </row>
    <row r="37" spans="1:31" ht="4.5" customHeight="1" x14ac:dyDescent="0.25">
      <c r="A37" s="2"/>
      <c r="B37" s="21"/>
      <c r="C37" s="3"/>
      <c r="D37" s="3"/>
      <c r="E37" s="3"/>
      <c r="F37" s="3"/>
      <c r="G37" s="3"/>
      <c r="H37" s="5"/>
      <c r="I37" s="5"/>
      <c r="J37" s="5"/>
      <c r="K37" s="5"/>
      <c r="L37" s="5"/>
      <c r="M37" s="5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AB37" s="40"/>
      <c r="AC37" s="41"/>
      <c r="AD37" s="41"/>
      <c r="AE37" s="41"/>
    </row>
    <row r="38" spans="1:31" ht="15" customHeight="1" x14ac:dyDescent="0.25">
      <c r="A38" s="2"/>
      <c r="B38" s="21" t="s">
        <v>8</v>
      </c>
      <c r="C38" s="17">
        <v>66</v>
      </c>
      <c r="D38" s="17">
        <v>63</v>
      </c>
      <c r="E38" s="17">
        <v>65</v>
      </c>
      <c r="F38" s="17">
        <v>62</v>
      </c>
      <c r="G38" s="17">
        <v>62</v>
      </c>
      <c r="H38" s="5">
        <v>24</v>
      </c>
      <c r="I38" s="5">
        <v>24</v>
      </c>
      <c r="J38" s="5">
        <v>22</v>
      </c>
      <c r="K38" s="5">
        <v>23</v>
      </c>
      <c r="L38" s="5"/>
      <c r="M38" s="5"/>
      <c r="N38" s="2">
        <v>42</v>
      </c>
      <c r="O38" s="2">
        <v>42</v>
      </c>
      <c r="P38" s="2">
        <v>42</v>
      </c>
      <c r="Q38" s="2">
        <v>42</v>
      </c>
      <c r="R38" s="2">
        <v>42</v>
      </c>
      <c r="S38" s="17"/>
      <c r="T38" s="17">
        <v>156</v>
      </c>
      <c r="U38" s="17">
        <v>157</v>
      </c>
      <c r="V38" s="17">
        <v>155</v>
      </c>
      <c r="W38" s="17">
        <v>153</v>
      </c>
      <c r="X38" s="17">
        <v>153</v>
      </c>
      <c r="AB38" s="40"/>
      <c r="AC38" s="41"/>
      <c r="AD38" s="41"/>
      <c r="AE38" s="41"/>
    </row>
    <row r="39" spans="1:31" ht="15" customHeight="1" x14ac:dyDescent="0.25">
      <c r="A39" s="2"/>
      <c r="B39" s="21" t="s">
        <v>18</v>
      </c>
      <c r="C39" s="17">
        <v>51</v>
      </c>
      <c r="D39" s="17">
        <v>51</v>
      </c>
      <c r="E39" s="17">
        <v>52</v>
      </c>
      <c r="F39" s="17">
        <v>51</v>
      </c>
      <c r="G39" s="17">
        <v>52</v>
      </c>
      <c r="H39" s="5">
        <v>52</v>
      </c>
      <c r="I39" s="5">
        <v>50</v>
      </c>
      <c r="J39" s="5">
        <v>46</v>
      </c>
      <c r="K39" s="5">
        <v>45</v>
      </c>
      <c r="L39" s="5"/>
      <c r="M39" s="5"/>
      <c r="N39" s="2">
        <v>37</v>
      </c>
      <c r="O39" s="2">
        <v>38</v>
      </c>
      <c r="P39" s="2">
        <v>38</v>
      </c>
      <c r="Q39" s="2">
        <v>38</v>
      </c>
      <c r="R39" s="2">
        <v>38</v>
      </c>
      <c r="S39" s="17"/>
      <c r="T39" s="17">
        <v>117</v>
      </c>
      <c r="U39" s="17">
        <v>121</v>
      </c>
      <c r="V39" s="17">
        <v>120</v>
      </c>
      <c r="W39" s="17">
        <v>120</v>
      </c>
      <c r="X39" s="17">
        <v>120</v>
      </c>
    </row>
    <row r="40" spans="1:31" ht="15" customHeight="1" x14ac:dyDescent="0.25">
      <c r="A40" s="2"/>
      <c r="B40" s="21" t="s">
        <v>22</v>
      </c>
      <c r="C40" s="17">
        <v>21</v>
      </c>
      <c r="D40" s="17">
        <v>19</v>
      </c>
      <c r="E40" s="17">
        <v>21</v>
      </c>
      <c r="F40" s="17">
        <v>21</v>
      </c>
      <c r="G40" s="17">
        <v>22</v>
      </c>
      <c r="H40" s="5">
        <v>13</v>
      </c>
      <c r="I40" s="5">
        <v>12</v>
      </c>
      <c r="J40" s="5">
        <v>10</v>
      </c>
      <c r="K40" s="5">
        <v>12</v>
      </c>
      <c r="L40" s="5"/>
      <c r="M40" s="5"/>
      <c r="N40" s="2">
        <v>13</v>
      </c>
      <c r="O40" s="2">
        <v>14</v>
      </c>
      <c r="P40" s="2">
        <v>14</v>
      </c>
      <c r="Q40" s="2">
        <v>14</v>
      </c>
      <c r="R40" s="2">
        <v>14</v>
      </c>
      <c r="S40" s="17"/>
      <c r="T40" s="17">
        <v>49</v>
      </c>
      <c r="U40" s="17">
        <v>51</v>
      </c>
      <c r="V40" s="17">
        <v>51</v>
      </c>
      <c r="W40" s="17">
        <v>52</v>
      </c>
      <c r="X40" s="17">
        <v>53</v>
      </c>
    </row>
    <row r="41" spans="1:31" ht="15" customHeight="1" x14ac:dyDescent="0.25">
      <c r="A41" s="2"/>
      <c r="B41" s="21" t="s">
        <v>9</v>
      </c>
      <c r="C41" s="17">
        <v>8</v>
      </c>
      <c r="D41" s="17">
        <v>5</v>
      </c>
      <c r="E41" s="17">
        <v>9</v>
      </c>
      <c r="F41" s="17">
        <v>9</v>
      </c>
      <c r="G41" s="17">
        <v>9</v>
      </c>
      <c r="H41" s="5"/>
      <c r="I41" s="5"/>
      <c r="J41" s="5"/>
      <c r="K41" s="5"/>
      <c r="L41" s="5"/>
      <c r="M41" s="5"/>
      <c r="N41" s="2">
        <v>2</v>
      </c>
      <c r="O41" s="2">
        <v>2</v>
      </c>
      <c r="P41" s="2">
        <v>2</v>
      </c>
      <c r="Q41" s="2">
        <v>2</v>
      </c>
      <c r="R41" s="2">
        <v>2</v>
      </c>
      <c r="S41" s="17"/>
      <c r="T41" s="17">
        <v>7</v>
      </c>
      <c r="U41" s="17">
        <v>7</v>
      </c>
      <c r="V41" s="17">
        <v>10</v>
      </c>
      <c r="W41" s="17">
        <v>10</v>
      </c>
      <c r="X41" s="17">
        <v>10</v>
      </c>
    </row>
    <row r="42" spans="1:31" ht="15" customHeight="1" x14ac:dyDescent="0.25">
      <c r="A42" s="2"/>
      <c r="B42" s="21" t="s">
        <v>10</v>
      </c>
      <c r="C42" s="17">
        <v>6</v>
      </c>
      <c r="D42" s="17">
        <v>6</v>
      </c>
      <c r="E42" s="17">
        <v>4</v>
      </c>
      <c r="F42" s="17">
        <v>4</v>
      </c>
      <c r="G42" s="17">
        <v>4</v>
      </c>
      <c r="H42" s="5">
        <v>2</v>
      </c>
      <c r="I42" s="5">
        <v>2</v>
      </c>
      <c r="J42" s="5">
        <v>2</v>
      </c>
      <c r="K42" s="5">
        <v>2</v>
      </c>
      <c r="L42" s="5"/>
      <c r="M42" s="5"/>
      <c r="N42" s="2">
        <v>1</v>
      </c>
      <c r="O42" s="2">
        <v>1</v>
      </c>
      <c r="P42" s="2">
        <v>1</v>
      </c>
      <c r="Q42" s="2">
        <v>1</v>
      </c>
      <c r="R42" s="2">
        <v>1</v>
      </c>
      <c r="S42" s="17"/>
      <c r="T42" s="17">
        <v>4</v>
      </c>
      <c r="U42" s="17">
        <v>3</v>
      </c>
      <c r="V42" s="17">
        <v>4</v>
      </c>
      <c r="W42" s="17">
        <v>4</v>
      </c>
      <c r="X42" s="17">
        <v>4</v>
      </c>
    </row>
    <row r="43" spans="1:31" ht="15" customHeight="1" x14ac:dyDescent="0.25">
      <c r="A43" s="2"/>
      <c r="B43" s="21" t="s">
        <v>19</v>
      </c>
      <c r="C43" s="17">
        <v>1</v>
      </c>
      <c r="D43" s="17">
        <v>1</v>
      </c>
      <c r="E43" s="17">
        <v>1</v>
      </c>
      <c r="F43" s="17">
        <v>1</v>
      </c>
      <c r="G43" s="17">
        <v>1</v>
      </c>
      <c r="H43" s="5">
        <v>2</v>
      </c>
      <c r="I43" s="5">
        <v>2</v>
      </c>
      <c r="J43" s="5">
        <v>2</v>
      </c>
      <c r="K43" s="5">
        <v>2</v>
      </c>
      <c r="L43" s="5"/>
      <c r="M43" s="5"/>
      <c r="N43" s="18" t="s">
        <v>3</v>
      </c>
      <c r="O43" s="18" t="s">
        <v>3</v>
      </c>
      <c r="P43" s="18" t="s">
        <v>3</v>
      </c>
      <c r="Q43" s="18" t="s">
        <v>3</v>
      </c>
      <c r="R43" s="18" t="s">
        <v>3</v>
      </c>
      <c r="S43" s="17"/>
      <c r="T43" s="17">
        <v>2</v>
      </c>
      <c r="U43" s="17">
        <v>2</v>
      </c>
      <c r="V43" s="17">
        <v>2</v>
      </c>
      <c r="W43" s="17">
        <v>2</v>
      </c>
      <c r="X43" s="17">
        <v>2</v>
      </c>
    </row>
    <row r="44" spans="1:31" ht="15" customHeight="1" x14ac:dyDescent="0.25">
      <c r="A44" s="2"/>
      <c r="B44" s="21" t="s">
        <v>20</v>
      </c>
      <c r="C44" s="17">
        <v>3</v>
      </c>
      <c r="D44" s="17">
        <v>3</v>
      </c>
      <c r="E44" s="17">
        <v>3</v>
      </c>
      <c r="F44" s="17">
        <v>3</v>
      </c>
      <c r="G44" s="17">
        <v>3</v>
      </c>
      <c r="H44" s="5">
        <v>2</v>
      </c>
      <c r="I44" s="5">
        <v>2</v>
      </c>
      <c r="J44" s="5">
        <v>2</v>
      </c>
      <c r="K44" s="5">
        <v>2</v>
      </c>
      <c r="L44" s="5"/>
      <c r="M44" s="5"/>
      <c r="N44" s="2">
        <v>1</v>
      </c>
      <c r="O44" s="2">
        <v>1</v>
      </c>
      <c r="P44" s="2">
        <v>1</v>
      </c>
      <c r="Q44" s="2">
        <v>1</v>
      </c>
      <c r="R44" s="2">
        <v>1</v>
      </c>
      <c r="S44" s="17"/>
      <c r="T44" s="17">
        <v>3</v>
      </c>
      <c r="U44" s="17">
        <v>3</v>
      </c>
      <c r="V44" s="17">
        <v>3</v>
      </c>
      <c r="W44" s="17">
        <v>3</v>
      </c>
      <c r="X44" s="17">
        <v>3</v>
      </c>
    </row>
    <row r="45" spans="1:31" ht="15" customHeight="1" x14ac:dyDescent="0.25">
      <c r="A45" s="2"/>
      <c r="B45" s="21" t="s">
        <v>21</v>
      </c>
      <c r="C45" s="18" t="s">
        <v>3</v>
      </c>
      <c r="D45" s="18" t="s">
        <v>3</v>
      </c>
      <c r="E45" s="18" t="s">
        <v>3</v>
      </c>
      <c r="F45" s="18" t="s">
        <v>3</v>
      </c>
      <c r="G45" s="18" t="s">
        <v>3</v>
      </c>
      <c r="H45" s="18" t="s">
        <v>3</v>
      </c>
      <c r="I45" s="18" t="s">
        <v>3</v>
      </c>
      <c r="J45" s="18" t="s">
        <v>3</v>
      </c>
      <c r="K45" s="18" t="s">
        <v>3</v>
      </c>
      <c r="L45" s="18" t="s">
        <v>3</v>
      </c>
      <c r="M45" s="18"/>
      <c r="N45" s="18" t="s">
        <v>3</v>
      </c>
      <c r="O45" s="18" t="s">
        <v>3</v>
      </c>
      <c r="P45" s="18" t="s">
        <v>3</v>
      </c>
      <c r="Q45" s="18" t="s">
        <v>3</v>
      </c>
      <c r="R45" s="18" t="s">
        <v>3</v>
      </c>
      <c r="S45" s="18"/>
      <c r="T45" s="18" t="s">
        <v>3</v>
      </c>
      <c r="U45" s="18" t="s">
        <v>3</v>
      </c>
      <c r="V45" s="18" t="s">
        <v>3</v>
      </c>
      <c r="W45" s="18" t="s">
        <v>3</v>
      </c>
      <c r="X45" s="18" t="s">
        <v>3</v>
      </c>
    </row>
    <row r="46" spans="1:31" ht="15" customHeight="1" x14ac:dyDescent="0.25">
      <c r="A46" s="2"/>
      <c r="B46" s="21" t="s">
        <v>23</v>
      </c>
      <c r="C46" s="17">
        <v>9</v>
      </c>
      <c r="D46" s="17">
        <v>9</v>
      </c>
      <c r="E46" s="17">
        <v>9</v>
      </c>
      <c r="F46" s="17">
        <v>5</v>
      </c>
      <c r="G46" s="17">
        <v>5</v>
      </c>
      <c r="H46" s="5">
        <v>7</v>
      </c>
      <c r="I46" s="5">
        <v>7</v>
      </c>
      <c r="J46" s="5">
        <v>5</v>
      </c>
      <c r="K46" s="5">
        <v>8</v>
      </c>
      <c r="L46" s="5"/>
      <c r="M46" s="5"/>
      <c r="N46" s="2">
        <v>1</v>
      </c>
      <c r="O46" s="2">
        <v>1</v>
      </c>
      <c r="P46" s="2">
        <v>1</v>
      </c>
      <c r="Q46" s="2">
        <v>1</v>
      </c>
      <c r="R46" s="2">
        <v>1</v>
      </c>
      <c r="S46" s="17"/>
      <c r="T46" s="17">
        <v>4</v>
      </c>
      <c r="U46" s="17">
        <v>4</v>
      </c>
      <c r="V46" s="17">
        <v>4</v>
      </c>
      <c r="W46" s="17">
        <v>4</v>
      </c>
      <c r="X46" s="17">
        <v>4</v>
      </c>
    </row>
    <row r="47" spans="1:31" ht="6" customHeight="1" x14ac:dyDescent="0.25">
      <c r="A47" s="2"/>
      <c r="B47" s="21"/>
      <c r="C47" s="3"/>
      <c r="D47" s="3"/>
      <c r="E47" s="3"/>
      <c r="F47" s="3"/>
      <c r="G47" s="3"/>
      <c r="H47" s="5"/>
      <c r="I47" s="5"/>
      <c r="J47" s="5"/>
      <c r="K47" s="5"/>
      <c r="L47" s="5"/>
      <c r="M47" s="5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31" ht="15" customHeight="1" x14ac:dyDescent="0.25">
      <c r="A48" s="2"/>
      <c r="B48" s="20" t="s">
        <v>11</v>
      </c>
      <c r="C48" s="36">
        <f>C50</f>
        <v>42</v>
      </c>
      <c r="D48" s="36">
        <f>D50</f>
        <v>42</v>
      </c>
      <c r="E48" s="36">
        <f>E50+E51</f>
        <v>44</v>
      </c>
      <c r="F48" s="36">
        <f>F50+F51</f>
        <v>44</v>
      </c>
      <c r="G48" s="36">
        <f>G50+G51</f>
        <v>44</v>
      </c>
      <c r="H48" s="36" t="e">
        <f>H50+#REF!</f>
        <v>#REF!</v>
      </c>
      <c r="I48" s="36" t="e">
        <f>I50+#REF!</f>
        <v>#REF!</v>
      </c>
      <c r="J48" s="36" t="e">
        <f>J50+#REF!</f>
        <v>#REF!</v>
      </c>
      <c r="K48" s="36" t="e">
        <f>K50+#REF!</f>
        <v>#REF!</v>
      </c>
      <c r="L48" s="36" t="e">
        <f>L50+#REF!</f>
        <v>#REF!</v>
      </c>
      <c r="M48" s="36"/>
      <c r="N48" s="36">
        <f>N50</f>
        <v>26</v>
      </c>
      <c r="O48" s="36">
        <f>O50</f>
        <v>26</v>
      </c>
      <c r="P48" s="36">
        <f>P50</f>
        <v>26</v>
      </c>
      <c r="Q48" s="36">
        <f>Q50</f>
        <v>26</v>
      </c>
      <c r="R48" s="36">
        <f>R50</f>
        <v>26</v>
      </c>
      <c r="S48" s="36"/>
      <c r="T48" s="36">
        <f>T50</f>
        <v>45</v>
      </c>
      <c r="U48" s="36">
        <f>U50</f>
        <v>45</v>
      </c>
      <c r="V48" s="36">
        <f>V50+V51</f>
        <v>46</v>
      </c>
      <c r="W48" s="36">
        <f>W50+W51</f>
        <v>46</v>
      </c>
      <c r="X48" s="36">
        <f>X50+X51</f>
        <v>46</v>
      </c>
    </row>
    <row r="49" spans="1:24" ht="6" customHeight="1" x14ac:dyDescent="0.25">
      <c r="A49" s="2"/>
      <c r="B49" s="21"/>
      <c r="C49" s="3"/>
      <c r="D49" s="3"/>
      <c r="E49" s="3"/>
      <c r="F49" s="3"/>
      <c r="G49" s="3"/>
      <c r="H49" s="5"/>
      <c r="I49" s="5"/>
      <c r="J49" s="5"/>
      <c r="K49" s="5"/>
      <c r="L49" s="5"/>
      <c r="M49" s="5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ht="15" customHeight="1" x14ac:dyDescent="0.25">
      <c r="A50" s="2"/>
      <c r="B50" s="21" t="s">
        <v>24</v>
      </c>
      <c r="C50" s="18">
        <v>42</v>
      </c>
      <c r="D50" s="18">
        <v>42</v>
      </c>
      <c r="E50" s="18">
        <v>42</v>
      </c>
      <c r="F50" s="18">
        <v>42</v>
      </c>
      <c r="G50" s="18">
        <v>42</v>
      </c>
      <c r="H50" s="5">
        <v>45</v>
      </c>
      <c r="I50" s="5">
        <v>0</v>
      </c>
      <c r="J50" s="5">
        <v>45</v>
      </c>
      <c r="K50" s="5">
        <v>45</v>
      </c>
      <c r="L50" s="5"/>
      <c r="M50" s="5"/>
      <c r="N50" s="2">
        <v>26</v>
      </c>
      <c r="O50" s="2">
        <v>26</v>
      </c>
      <c r="P50" s="2">
        <v>26</v>
      </c>
      <c r="Q50" s="2">
        <v>26</v>
      </c>
      <c r="R50" s="2">
        <v>26</v>
      </c>
      <c r="S50" s="18"/>
      <c r="T50" s="17">
        <v>45</v>
      </c>
      <c r="U50" s="17">
        <v>45</v>
      </c>
      <c r="V50" s="17">
        <v>45</v>
      </c>
      <c r="W50" s="17">
        <v>45</v>
      </c>
      <c r="X50" s="17">
        <v>45</v>
      </c>
    </row>
    <row r="51" spans="1:24" ht="15" customHeight="1" x14ac:dyDescent="0.25">
      <c r="A51" s="2"/>
      <c r="B51" s="21" t="s">
        <v>25</v>
      </c>
      <c r="C51" s="18" t="s">
        <v>3</v>
      </c>
      <c r="D51" s="18" t="s">
        <v>3</v>
      </c>
      <c r="E51" s="18">
        <v>2</v>
      </c>
      <c r="F51" s="18">
        <v>2</v>
      </c>
      <c r="G51" s="18">
        <v>2</v>
      </c>
      <c r="H51" s="5"/>
      <c r="I51" s="5"/>
      <c r="J51" s="5"/>
      <c r="K51" s="5"/>
      <c r="L51" s="5"/>
      <c r="M51" s="5"/>
      <c r="N51" s="18" t="s">
        <v>3</v>
      </c>
      <c r="O51" s="18" t="s">
        <v>3</v>
      </c>
      <c r="P51" s="18" t="s">
        <v>3</v>
      </c>
      <c r="Q51" s="18" t="s">
        <v>3</v>
      </c>
      <c r="R51" s="18" t="s">
        <v>3</v>
      </c>
      <c r="S51" s="18"/>
      <c r="T51" s="18" t="s">
        <v>3</v>
      </c>
      <c r="U51" s="18" t="s">
        <v>3</v>
      </c>
      <c r="V51" s="17">
        <v>1</v>
      </c>
      <c r="W51" s="17">
        <v>1</v>
      </c>
      <c r="X51" s="17">
        <v>1</v>
      </c>
    </row>
    <row r="52" spans="1:24" ht="6" customHeight="1" x14ac:dyDescent="0.25">
      <c r="A52" s="2"/>
      <c r="B52" s="23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spans="1:24" ht="13.5" customHeight="1" x14ac:dyDescent="0.25">
      <c r="A53" s="2"/>
      <c r="B53" s="24" t="s">
        <v>17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2"/>
      <c r="U53" s="2"/>
      <c r="V53" s="2"/>
      <c r="W53" s="2"/>
      <c r="X53" s="2"/>
    </row>
    <row r="59" spans="1:24" ht="12.75" customHeight="1" x14ac:dyDescent="0.2">
      <c r="W59" s="39"/>
    </row>
  </sheetData>
  <mergeCells count="8">
    <mergeCell ref="B2:R2"/>
    <mergeCell ref="T31:X31"/>
    <mergeCell ref="T4:X4"/>
    <mergeCell ref="C4:G4"/>
    <mergeCell ref="N4:R4"/>
    <mergeCell ref="C31:G31"/>
    <mergeCell ref="N31:R31"/>
    <mergeCell ref="B29:R29"/>
  </mergeCells>
  <phoneticPr fontId="0" type="noConversion"/>
  <printOptions horizontalCentered="1"/>
  <pageMargins left="0.39370078740157483" right="0.39370078740157483" top="0.78740157480314965" bottom="0.59055118110236227" header="0" footer="0"/>
  <pageSetup paperSize="9" orientation="portrait" horizontalDpi="120" verticalDpi="144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5,3  </vt:lpstr>
      <vt:lpstr>'  5,3  '!Área_de_impresión</vt:lpstr>
    </vt:vector>
  </TitlesOfParts>
  <Company>INEI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2016-09-07T19:04:25Z</cp:lastPrinted>
  <dcterms:created xsi:type="dcterms:W3CDTF">1998-08-14T13:01:51Z</dcterms:created>
  <dcterms:modified xsi:type="dcterms:W3CDTF">2023-01-18T15:05:18Z</dcterms:modified>
</cp:coreProperties>
</file>