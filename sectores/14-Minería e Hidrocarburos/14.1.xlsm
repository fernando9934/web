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4-Minería e Hidrocarburos\"/>
    </mc:Choice>
  </mc:AlternateContent>
  <bookViews>
    <workbookView xWindow="15" yWindow="15" windowWidth="21210" windowHeight="9645"/>
  </bookViews>
  <sheets>
    <sheet name="  14,1  " sheetId="1" r:id="rId1"/>
    <sheet name="GRAFICO" sheetId="2" state="hidden" r:id="rId2"/>
  </sheets>
  <definedNames>
    <definedName name="_Regression_Int" localSheetId="0" hidden="1">1</definedName>
    <definedName name="A_impresión_IM" localSheetId="0">'  14,1  '!$B$2:$B$27</definedName>
    <definedName name="_xlnm.Print_Area" localSheetId="0">'  14,1  '!$B$2:$N$32</definedName>
    <definedName name="_xlnm.Print_Area" localSheetId="1">GRAFICO!$A$1:$I$22</definedName>
  </definedNames>
  <calcPr calcId="162913"/>
</workbook>
</file>

<file path=xl/calcChain.xml><?xml version="1.0" encoding="utf-8"?>
<calcChain xmlns="http://schemas.openxmlformats.org/spreadsheetml/2006/main">
  <c r="W28" i="1" l="1"/>
</calcChain>
</file>

<file path=xl/sharedStrings.xml><?xml version="1.0" encoding="utf-8"?>
<sst xmlns="http://schemas.openxmlformats.org/spreadsheetml/2006/main" count="46" uniqueCount="30">
  <si>
    <t>1 kilogramo = 35,2739619 onzas</t>
  </si>
  <si>
    <t>Producto</t>
  </si>
  <si>
    <t>Total País</t>
  </si>
  <si>
    <t xml:space="preserve"> Ica</t>
  </si>
  <si>
    <t xml:space="preserve"> Cobre </t>
  </si>
  <si>
    <t xml:space="preserve"> Zinc </t>
  </si>
  <si>
    <t xml:space="preserve"> Plomo</t>
  </si>
  <si>
    <t xml:space="preserve"> Hierro </t>
  </si>
  <si>
    <t xml:space="preserve"> Estaño </t>
  </si>
  <si>
    <t xml:space="preserve"> Molibdeno </t>
  </si>
  <si>
    <t>Unidad de</t>
  </si>
  <si>
    <t>Medida</t>
  </si>
  <si>
    <t xml:space="preserve">Tonelada métrica </t>
  </si>
  <si>
    <t>Ene-Jun</t>
  </si>
  <si>
    <t>1 gramo       =  0,0352739 onzas</t>
  </si>
  <si>
    <t xml:space="preserve"> Oro </t>
  </si>
  <si>
    <t xml:space="preserve"> Plata </t>
  </si>
  <si>
    <t>Kilogramos</t>
  </si>
  <si>
    <t xml:space="preserve"> Plata</t>
  </si>
  <si>
    <t xml:space="preserve"> Oro</t>
  </si>
  <si>
    <t>Producción  minera</t>
  </si>
  <si>
    <t xml:space="preserve">14.1  ICA: VOLUMEN DE LA PRODUCCIÓN MINERA METÁLICA EN EL PAÍS Y EN EL </t>
  </si>
  <si>
    <t xml:space="preserve">        (Contenido fino)</t>
  </si>
  <si>
    <t>2019 P/</t>
  </si>
  <si>
    <t>Fuente: Ministerio de Energía y Minas - Dirección General de Promoción y Sostenibilidad Minera.</t>
  </si>
  <si>
    <t>2020 P/</t>
  </si>
  <si>
    <t>2021 P/</t>
  </si>
  <si>
    <t>2022 E/</t>
  </si>
  <si>
    <t xml:space="preserve">        DEPARTAMENTO, 2012 - 2022</t>
  </si>
  <si>
    <r>
      <t>Nota</t>
    </r>
    <r>
      <rPr>
        <sz val="7"/>
        <rFont val="Arial Narrow"/>
        <family val="2"/>
      </rPr>
      <t>: Corresponde al contenido fino de los concentrados. Información disponible a abril de 2022.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</si>
</sst>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\ ###\ ###"/>
    <numFmt numFmtId="165" formatCode="#\ ##0"/>
    <numFmt numFmtId="166" formatCode="#\ ###\ ##0;0;&quot;-&quot;"/>
    <numFmt numFmtId="167" formatCode="#,##0.000000"/>
    <numFmt numFmtId="168" formatCode="#,##0.000000000"/>
    <numFmt numFmtId="169" formatCode="###\ ###\ ##0"/>
  </numFmts>
  <fonts count="26" x14ac:knownFonts="1">
    <font>
      <sz val="10"/>
      <name val="Helv"/>
    </font>
    <font>
      <sz val="10"/>
      <name val="Arial"/>
      <family val="2"/>
    </font>
    <font>
      <b/>
      <sz val="8"/>
      <name val="Arial"/>
      <family val="2"/>
    </font>
    <font>
      <b/>
      <sz val="8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0"/>
      <name val="Helv"/>
    </font>
    <font>
      <sz val="7"/>
      <name val="Arial Narrow"/>
      <family val="2"/>
    </font>
    <font>
      <b/>
      <sz val="8"/>
      <color indexed="8"/>
      <name val="Arial Narrow"/>
      <family val="2"/>
    </font>
    <font>
      <sz val="8"/>
      <color indexed="8"/>
      <name val="Arial Narrow"/>
      <family val="2"/>
    </font>
    <font>
      <b/>
      <sz val="8"/>
      <name val="Arial Narrow"/>
      <family val="2"/>
    </font>
    <font>
      <sz val="8"/>
      <name val="Arial Narrow"/>
      <family val="2"/>
    </font>
    <font>
      <b/>
      <sz val="7"/>
      <color indexed="8"/>
      <name val="Arial Narrow"/>
      <family val="2"/>
    </font>
    <font>
      <b/>
      <sz val="9"/>
      <color indexed="8"/>
      <name val="Arial Narrow"/>
      <family val="2"/>
    </font>
    <font>
      <sz val="7"/>
      <color indexed="8"/>
      <name val="Arial Narrow"/>
      <family val="2"/>
    </font>
    <font>
      <sz val="10"/>
      <name val="Arial"/>
      <family val="2"/>
    </font>
    <font>
      <sz val="8"/>
      <color theme="0"/>
      <name val="Times New Roman"/>
      <family val="1"/>
    </font>
    <font>
      <sz val="8"/>
      <color theme="0"/>
      <name val="Arial"/>
      <family val="2"/>
    </font>
    <font>
      <b/>
      <sz val="7"/>
      <color indexed="8"/>
      <name val="Arial"/>
      <family val="2"/>
    </font>
    <font>
      <sz val="8"/>
      <color rgb="FFFF0000"/>
      <name val="Times New Roman"/>
      <family val="1"/>
    </font>
    <font>
      <b/>
      <sz val="12"/>
      <color theme="0"/>
      <name val="Arial"/>
      <family val="2"/>
    </font>
    <font>
      <b/>
      <sz val="8"/>
      <color theme="0"/>
      <name val="Times New Roman"/>
      <family val="1"/>
    </font>
    <font>
      <b/>
      <sz val="7"/>
      <name val="Arial Narrow"/>
      <family val="2"/>
    </font>
    <font>
      <u/>
      <sz val="8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17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</cellStyleXfs>
  <cellXfs count="85">
    <xf numFmtId="0" fontId="0" fillId="0" borderId="0" xfId="0"/>
    <xf numFmtId="0" fontId="4" fillId="0" borderId="0" xfId="0" applyFont="1"/>
    <xf numFmtId="0" fontId="3" fillId="2" borderId="0" xfId="0" applyFont="1" applyFill="1" applyBorder="1" applyAlignment="1" applyProtection="1">
      <alignment horizontal="center"/>
    </xf>
    <xf numFmtId="0" fontId="4" fillId="2" borderId="0" xfId="0" applyFont="1" applyFill="1" applyProtection="1"/>
    <xf numFmtId="0" fontId="4" fillId="2" borderId="0" xfId="0" applyFont="1" applyFill="1"/>
    <xf numFmtId="0" fontId="3" fillId="2" borderId="0" xfId="0" applyFont="1" applyFill="1" applyAlignment="1">
      <alignment horizontal="center"/>
    </xf>
    <xf numFmtId="0" fontId="4" fillId="2" borderId="0" xfId="0" applyFont="1" applyFill="1" applyProtection="1">
      <protection locked="0"/>
    </xf>
    <xf numFmtId="0" fontId="5" fillId="0" borderId="0" xfId="0" applyFont="1"/>
    <xf numFmtId="0" fontId="5" fillId="0" borderId="0" xfId="0" applyFont="1" applyBorder="1"/>
    <xf numFmtId="0" fontId="5" fillId="0" borderId="0" xfId="0" applyFont="1" applyProtection="1"/>
    <xf numFmtId="0" fontId="2" fillId="0" borderId="0" xfId="0" applyFont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left"/>
    </xf>
    <xf numFmtId="0" fontId="6" fillId="2" borderId="0" xfId="0" applyFont="1" applyFill="1" applyBorder="1"/>
    <xf numFmtId="0" fontId="6" fillId="0" borderId="0" xfId="0" applyFont="1" applyBorder="1"/>
    <xf numFmtId="0" fontId="6" fillId="0" borderId="0" xfId="0" applyFont="1" applyBorder="1" applyAlignment="1" applyProtection="1">
      <alignment horizontal="right"/>
    </xf>
    <xf numFmtId="0" fontId="6" fillId="0" borderId="0" xfId="0" applyFont="1"/>
    <xf numFmtId="1" fontId="4" fillId="0" borderId="0" xfId="0" applyNumberFormat="1" applyFont="1"/>
    <xf numFmtId="0" fontId="11" fillId="0" borderId="0" xfId="0" applyFont="1"/>
    <xf numFmtId="0" fontId="10" fillId="0" borderId="0" xfId="0" applyFont="1"/>
    <xf numFmtId="0" fontId="11" fillId="0" borderId="0" xfId="0" applyFont="1" applyBorder="1"/>
    <xf numFmtId="0" fontId="10" fillId="0" borderId="0" xfId="0" applyFont="1" applyAlignment="1">
      <alignment horizontal="centerContinuous"/>
    </xf>
    <xf numFmtId="0" fontId="11" fillId="0" borderId="1" xfId="0" applyFont="1" applyBorder="1"/>
    <xf numFmtId="0" fontId="14" fillId="0" borderId="0" xfId="0" applyFont="1"/>
    <xf numFmtId="1" fontId="11" fillId="0" borderId="0" xfId="0" applyNumberFormat="1" applyFont="1"/>
    <xf numFmtId="0" fontId="15" fillId="0" borderId="0" xfId="0" applyFont="1" applyAlignment="1" applyProtection="1">
      <alignment horizontal="left" vertical="center"/>
    </xf>
    <xf numFmtId="0" fontId="15" fillId="0" borderId="0" xfId="0" applyFont="1"/>
    <xf numFmtId="0" fontId="16" fillId="0" borderId="0" xfId="0" applyFont="1"/>
    <xf numFmtId="0" fontId="18" fillId="0" borderId="0" xfId="0" applyFont="1"/>
    <xf numFmtId="0" fontId="19" fillId="0" borderId="0" xfId="0" applyFont="1"/>
    <xf numFmtId="0" fontId="18" fillId="3" borderId="0" xfId="0" applyFont="1" applyFill="1" applyBorder="1"/>
    <xf numFmtId="0" fontId="11" fillId="0" borderId="0" xfId="0" applyFont="1" applyAlignment="1" applyProtection="1">
      <alignment horizontal="left" vertical="center"/>
    </xf>
    <xf numFmtId="0" fontId="10" fillId="0" borderId="5" xfId="0" applyFont="1" applyBorder="1" applyAlignment="1" applyProtection="1">
      <alignment horizontal="left"/>
    </xf>
    <xf numFmtId="0" fontId="11" fillId="0" borderId="5" xfId="0" applyFont="1" applyBorder="1" applyAlignment="1" applyProtection="1">
      <alignment horizontal="left"/>
    </xf>
    <xf numFmtId="0" fontId="12" fillId="0" borderId="5" xfId="0" applyFont="1" applyBorder="1" applyAlignment="1" applyProtection="1">
      <alignment horizontal="left"/>
    </xf>
    <xf numFmtId="0" fontId="11" fillId="0" borderId="2" xfId="0" applyFont="1" applyBorder="1"/>
    <xf numFmtId="0" fontId="10" fillId="0" borderId="0" xfId="0" applyFont="1" applyBorder="1" applyAlignment="1" applyProtection="1">
      <alignment horizontal="left"/>
    </xf>
    <xf numFmtId="0" fontId="11" fillId="0" borderId="0" xfId="0" applyFont="1" applyBorder="1" applyAlignment="1" applyProtection="1">
      <alignment horizontal="left"/>
    </xf>
    <xf numFmtId="0" fontId="12" fillId="0" borderId="0" xfId="0" applyFont="1" applyBorder="1" applyAlignment="1" applyProtection="1">
      <alignment horizontal="left"/>
    </xf>
    <xf numFmtId="0" fontId="20" fillId="0" borderId="0" xfId="0" applyFont="1"/>
    <xf numFmtId="0" fontId="10" fillId="0" borderId="3" xfId="0" applyFont="1" applyBorder="1" applyAlignment="1" applyProtection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left"/>
    </xf>
    <xf numFmtId="0" fontId="21" fillId="0" borderId="0" xfId="0" applyFont="1"/>
    <xf numFmtId="0" fontId="4" fillId="3" borderId="0" xfId="0" applyFont="1" applyFill="1" applyBorder="1"/>
    <xf numFmtId="167" fontId="4" fillId="3" borderId="0" xfId="0" applyNumberFormat="1" applyFont="1" applyFill="1" applyBorder="1"/>
    <xf numFmtId="3" fontId="5" fillId="3" borderId="0" xfId="2" applyNumberFormat="1" applyFont="1" applyFill="1" applyBorder="1" applyAlignment="1">
      <alignment horizontal="right"/>
    </xf>
    <xf numFmtId="168" fontId="3" fillId="3" borderId="0" xfId="0" applyNumberFormat="1" applyFont="1" applyFill="1" applyBorder="1"/>
    <xf numFmtId="3" fontId="5" fillId="3" borderId="0" xfId="1" applyNumberFormat="1" applyFont="1" applyFill="1" applyBorder="1" applyAlignment="1">
      <alignment horizontal="right"/>
    </xf>
    <xf numFmtId="0" fontId="22" fillId="0" borderId="0" xfId="0" applyFont="1"/>
    <xf numFmtId="3" fontId="19" fillId="3" borderId="0" xfId="2" applyNumberFormat="1" applyFont="1" applyFill="1" applyBorder="1" applyAlignment="1">
      <alignment horizontal="right"/>
    </xf>
    <xf numFmtId="3" fontId="19" fillId="3" borderId="0" xfId="1" applyNumberFormat="1" applyFont="1" applyFill="1" applyBorder="1" applyAlignment="1">
      <alignment horizontal="right"/>
    </xf>
    <xf numFmtId="168" fontId="23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Alignment="1">
      <alignment horizontal="left"/>
    </xf>
    <xf numFmtId="164" fontId="5" fillId="0" borderId="0" xfId="3" applyNumberFormat="1" applyFont="1" applyBorder="1" applyAlignment="1" applyProtection="1"/>
    <xf numFmtId="0" fontId="4" fillId="3" borderId="0" xfId="0" applyFont="1" applyFill="1"/>
    <xf numFmtId="169" fontId="13" fillId="0" borderId="0" xfId="3" applyNumberFormat="1" applyFont="1" applyBorder="1" applyAlignment="1" applyProtection="1"/>
    <xf numFmtId="166" fontId="13" fillId="0" borderId="0" xfId="7" applyNumberFormat="1" applyFont="1" applyBorder="1" applyAlignment="1" applyProtection="1"/>
    <xf numFmtId="0" fontId="13" fillId="0" borderId="0" xfId="0" applyFont="1" applyAlignment="1"/>
    <xf numFmtId="164" fontId="13" fillId="0" borderId="0" xfId="0" applyNumberFormat="1" applyFont="1" applyAlignment="1"/>
    <xf numFmtId="169" fontId="13" fillId="0" borderId="0" xfId="3" applyNumberFormat="1" applyFont="1" applyAlignment="1">
      <alignment horizontal="right"/>
    </xf>
    <xf numFmtId="0" fontId="24" fillId="0" borderId="0" xfId="8" applyFont="1" applyAlignment="1">
      <alignment horizontal="left" vertical="center"/>
    </xf>
    <xf numFmtId="166" fontId="13" fillId="0" borderId="0" xfId="1" applyNumberFormat="1" applyFont="1" applyAlignment="1" applyProtection="1">
      <alignment horizontal="right"/>
      <protection locked="0"/>
    </xf>
    <xf numFmtId="166" fontId="13" fillId="0" borderId="0" xfId="6" applyNumberFormat="1" applyFont="1" applyBorder="1" applyAlignment="1" applyProtection="1">
      <alignment horizontal="right"/>
    </xf>
    <xf numFmtId="166" fontId="13" fillId="0" borderId="0" xfId="4" applyNumberFormat="1" applyFont="1" applyAlignment="1">
      <alignment horizontal="right"/>
    </xf>
    <xf numFmtId="166" fontId="13" fillId="0" borderId="0" xfId="6" applyNumberFormat="1" applyFont="1" applyAlignment="1">
      <alignment horizontal="right"/>
    </xf>
    <xf numFmtId="166" fontId="13" fillId="0" borderId="0" xfId="7" applyNumberFormat="1" applyFont="1" applyAlignment="1">
      <alignment horizontal="right"/>
    </xf>
    <xf numFmtId="0" fontId="12" fillId="0" borderId="6" xfId="0" applyFont="1" applyBorder="1" applyAlignment="1">
      <alignment horizontal="right" vertical="center" wrapText="1"/>
    </xf>
    <xf numFmtId="0" fontId="12" fillId="0" borderId="1" xfId="0" applyFont="1" applyBorder="1" applyAlignment="1">
      <alignment horizontal="right" vertical="center" wrapText="1"/>
    </xf>
    <xf numFmtId="0" fontId="13" fillId="0" borderId="0" xfId="0" applyFont="1" applyBorder="1"/>
    <xf numFmtId="0" fontId="13" fillId="0" borderId="1" xfId="0" applyFont="1" applyBorder="1"/>
    <xf numFmtId="1" fontId="13" fillId="0" borderId="1" xfId="0" applyNumberFormat="1" applyFont="1" applyBorder="1"/>
    <xf numFmtId="0" fontId="24" fillId="0" borderId="0" xfId="3" quotePrefix="1" applyFont="1" applyAlignment="1">
      <alignment horizontal="left" vertical="center"/>
    </xf>
    <xf numFmtId="166" fontId="13" fillId="0" borderId="0" xfId="1" applyNumberFormat="1" applyFont="1" applyBorder="1" applyAlignment="1" applyProtection="1">
      <alignment horizontal="right"/>
      <protection locked="0"/>
    </xf>
    <xf numFmtId="166" fontId="13" fillId="0" borderId="0" xfId="0" applyNumberFormat="1" applyFont="1" applyBorder="1" applyAlignment="1" applyProtection="1">
      <alignment horizontal="right"/>
      <protection locked="0"/>
    </xf>
    <xf numFmtId="166" fontId="13" fillId="0" borderId="0" xfId="4" applyNumberFormat="1" applyFont="1" applyFill="1" applyBorder="1" applyAlignment="1" applyProtection="1">
      <alignment horizontal="right"/>
    </xf>
    <xf numFmtId="165" fontId="13" fillId="0" borderId="0" xfId="4" applyNumberFormat="1" applyFont="1" applyFill="1" applyBorder="1" applyAlignment="1" applyProtection="1">
      <alignment horizontal="right"/>
    </xf>
    <xf numFmtId="166" fontId="13" fillId="0" borderId="0" xfId="5" applyNumberFormat="1" applyFont="1" applyFill="1" applyBorder="1" applyAlignment="1" applyProtection="1">
      <alignment horizontal="right"/>
    </xf>
    <xf numFmtId="166" fontId="13" fillId="0" borderId="0" xfId="5" applyNumberFormat="1" applyFont="1" applyAlignment="1">
      <alignment horizontal="right"/>
    </xf>
    <xf numFmtId="165" fontId="13" fillId="0" borderId="0" xfId="0" applyNumberFormat="1" applyFont="1" applyBorder="1" applyAlignment="1" applyProtection="1">
      <alignment horizontal="right"/>
      <protection locked="0"/>
    </xf>
    <xf numFmtId="166" fontId="13" fillId="0" borderId="0" xfId="7" applyNumberFormat="1" applyFont="1" applyBorder="1" applyAlignment="1" applyProtection="1">
      <alignment horizontal="right"/>
    </xf>
    <xf numFmtId="0" fontId="25" fillId="2" borderId="0" xfId="0" applyFont="1" applyFill="1" applyBorder="1"/>
    <xf numFmtId="0" fontId="10" fillId="0" borderId="6" xfId="0" applyFont="1" applyBorder="1" applyAlignment="1" applyProtection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</cellXfs>
  <cellStyles count="9">
    <cellStyle name="Normal" xfId="0" builtinId="0"/>
    <cellStyle name="Normal 2" xfId="1"/>
    <cellStyle name="Normal 3" xfId="2"/>
    <cellStyle name="Normal_IEC12002" xfId="3"/>
    <cellStyle name="Normal_IEC12005" xfId="8"/>
    <cellStyle name="Normal_IEC12009" xfId="4"/>
    <cellStyle name="Normal_IEC12011" xfId="5"/>
    <cellStyle name="Normal_IEC12015" xfId="6"/>
    <cellStyle name="Normal_IEC12021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DPTO. ICA : PRODUCCION DE HIERRO : 1988 - 96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8-4582-886A-BCB47880C0A2}"/>
                </c:ext>
              </c:extLst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58-4582-886A-BCB47880C0A2}"/>
                </c:ext>
              </c:extLst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8-4582-886A-BCB47880C0A2}"/>
                </c:ext>
              </c:extLst>
            </c:dLbl>
            <c:dLbl>
              <c:idx val="5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8-4582-886A-BCB47880C0A2}"/>
                </c:ext>
              </c:extLst>
            </c:dLbl>
            <c:dLbl>
              <c:idx val="6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8-4582-886A-BCB47880C0A2}"/>
                </c:ext>
              </c:extLst>
            </c:dLbl>
            <c:dLbl>
              <c:idx val="7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958-4582-886A-BCB47880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  14,1  '!$F$12:$F$22</c:f>
              <c:numCache>
                <c:formatCode>###\ ###\ ##0</c:formatCode>
                <c:ptCount val="11"/>
                <c:pt idx="0">
                  <c:v>3768147.2192430012</c:v>
                </c:pt>
                <c:pt idx="1">
                  <c:v>277294.48259600002</c:v>
                </c:pt>
                <c:pt idx="2">
                  <c:v>7192591.9308000002</c:v>
                </c:pt>
                <c:pt idx="3">
                  <c:v>23105.261869000002</c:v>
                </c:pt>
                <c:pt idx="4">
                  <c:v>17017.692465</c:v>
                </c:pt>
                <c:pt idx="7" formatCode="#\ ###\ ##0;0;&quot;-&quot;">
                  <c:v>42459.999566999992</c:v>
                </c:pt>
                <c:pt idx="8" formatCode="#\ ###\ ##0;0;&quot;-&quot;">
                  <c:v>16684.838929999998</c:v>
                </c:pt>
                <c:pt idx="9" formatCode="#\ ###\ ##0;0;&quot;-&quot;">
                  <c:v>174255.436889</c:v>
                </c:pt>
                <c:pt idx="10" formatCode="#\ ###\ ##0;0;&quot;-&quot;">
                  <c:v>100713.15476600001</c:v>
                </c:pt>
              </c:numCache>
            </c:numRef>
          </c:cat>
          <c:val>
            <c:numRef>
              <c:f>'  14,1 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58-4582-886A-BCB47880C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26240"/>
        <c:axId val="250628416"/>
      </c:barChart>
      <c:catAx>
        <c:axId val="250626240"/>
        <c:scaling>
          <c:orientation val="minMax"/>
        </c:scaling>
        <c:delete val="0"/>
        <c:axPos val="b"/>
        <c:numFmt formatCode="###\ ###\ 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2506284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0628416"/>
        <c:scaling>
          <c:orientation val="minMax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5062624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paperSize="9" orientation="landscape" horizontalDpi="120" verticalDpi="14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r>
              <a:t> ICA : PRODUCCION DE HIERRO 1994 al 2003
(Miles Toneladas de Contenido Fino)</a:t>
            </a:r>
          </a:p>
        </c:rich>
      </c:tx>
      <c:layout>
        <c:manualLayout>
          <c:xMode val="edge"/>
          <c:yMode val="edge"/>
          <c:x val="0.24735729386892177"/>
          <c:y val="1.8315018315018316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45"/>
      <c:rotY val="20"/>
      <c:depthPercent val="200"/>
      <c:rAngAx val="1"/>
    </c:view3D>
    <c:floor>
      <c:thickness val="0"/>
      <c:spPr>
        <a:solidFill>
          <a:srgbClr val="C0C0C0"/>
        </a:solidFill>
        <a:ln w="12700">
          <a:solidFill>
            <a:srgbClr val="33CCCC"/>
          </a:solidFill>
          <a:prstDash val="solid"/>
        </a:ln>
      </c:spPr>
    </c:floor>
    <c:side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DCDCDC" mc:Ignorable="a14" a14:legacySpreadsheetColorIndex="9">
                <a:gamma/>
                <a:shade val="86275"/>
                <a:invGamma/>
              </a:srgbClr>
            </a:gs>
          </a:gsLst>
          <a:lin ang="5400000" scaled="1"/>
        </a:gradFill>
        <a:ln w="12700">
          <a:solidFill>
            <a:srgbClr val="33CCCC"/>
          </a:solidFill>
          <a:prstDash val="solid"/>
        </a:ln>
      </c:spPr>
    </c:sideWall>
    <c:back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DCDCDC" mc:Ignorable="a14" a14:legacySpreadsheetColorIndex="9">
                <a:gamma/>
                <a:shade val="86275"/>
                <a:invGamma/>
              </a:srgbClr>
            </a:gs>
          </a:gsLst>
          <a:lin ang="5400000" scaled="1"/>
        </a:gradFill>
        <a:ln w="12700">
          <a:solidFill>
            <a:srgbClr val="33CCCC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6.5539112050739964E-2"/>
          <c:y val="0.20879195567177367"/>
          <c:w val="0.92600422832980978"/>
          <c:h val="0.7069622358710933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CCFFCC"/>
            </a:solidFill>
            <a:ln w="12700">
              <a:solidFill>
                <a:srgbClr val="33CCCC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1574525700143723E-2"/>
                  <c:y val="-2.7684005072594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3F-4739-A2DC-D9FCCA689C63}"/>
                </c:ext>
              </c:extLst>
            </c:dLbl>
            <c:dLbl>
              <c:idx val="1"/>
              <c:layout>
                <c:manualLayout>
                  <c:x val="1.9134690616104288E-2"/>
                  <c:y val="-3.29834258498505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3F-4739-A2DC-D9FCCA689C63}"/>
                </c:ext>
              </c:extLst>
            </c:dLbl>
            <c:dLbl>
              <c:idx val="2"/>
              <c:layout>
                <c:manualLayout>
                  <c:x val="1.8238417872184554E-2"/>
                  <c:y val="-2.05913737410591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3F-4739-A2DC-D9FCCA689C63}"/>
                </c:ext>
              </c:extLst>
            </c:dLbl>
            <c:dLbl>
              <c:idx val="3"/>
              <c:layout>
                <c:manualLayout>
                  <c:x val="2.7912747693007722E-2"/>
                  <c:y val="-3.50681960392075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3F-4739-A2DC-D9FCCA689C63}"/>
                </c:ext>
              </c:extLst>
            </c:dLbl>
            <c:dLbl>
              <c:idx val="4"/>
              <c:layout>
                <c:manualLayout>
                  <c:x val="2.0673758274930232E-2"/>
                  <c:y val="-2.43045545991932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3F-4739-A2DC-D9FCCA689C63}"/>
                </c:ext>
              </c:extLst>
            </c:dLbl>
            <c:dLbl>
              <c:idx val="5"/>
              <c:layout>
                <c:manualLayout>
                  <c:x val="2.4005593381165591E-2"/>
                  <c:y val="-3.5725981062265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3F-4739-A2DC-D9FCCA689C63}"/>
                </c:ext>
              </c:extLst>
            </c:dLbl>
            <c:dLbl>
              <c:idx val="6"/>
              <c:layout>
                <c:manualLayout>
                  <c:x val="2.5223263582538458E-2"/>
                  <c:y val="-1.56630781001396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3F-4739-A2DC-D9FCCA689C63}"/>
                </c:ext>
              </c:extLst>
            </c:dLbl>
            <c:dLbl>
              <c:idx val="7"/>
              <c:layout>
                <c:manualLayout>
                  <c:x val="2.432676887904861E-2"/>
                  <c:y val="-2.40075769108413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3F-4739-A2DC-D9FCCA689C63}"/>
                </c:ext>
              </c:extLst>
            </c:dLbl>
            <c:dLbl>
              <c:idx val="8"/>
              <c:layout>
                <c:manualLayout>
                  <c:x val="2.5544661039991534E-2"/>
                  <c:y val="-3.26573042401114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3F-4739-A2DC-D9FCCA689C63}"/>
                </c:ext>
              </c:extLst>
            </c:dLbl>
            <c:dLbl>
              <c:idx val="9"/>
              <c:layout>
                <c:manualLayout>
                  <c:x val="1.6191506717051385E-2"/>
                  <c:y val="-2.35620468386109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3F-4739-A2DC-D9FCCA689C63}"/>
                </c:ext>
              </c:extLst>
            </c:dLbl>
            <c:dLbl>
              <c:idx val="10"/>
              <c:layout>
                <c:manualLayout>
                  <c:xMode val="edge"/>
                  <c:yMode val="edge"/>
                  <c:x val="0.75898520084566601"/>
                  <c:y val="1.831508383085734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7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3F-4739-A2DC-D9FCCA689C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00" b="1" i="0" u="none" strike="noStrike" baseline="0">
                    <a:solidFill>
                      <a:srgbClr val="0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GRAFICO!$K$2:$K$11</c:f>
              <c:numCache>
                <c:formatCode>General</c:formatCode>
                <c:ptCount val="10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</c:numCache>
            </c:numRef>
          </c:cat>
          <c:val>
            <c:numRef>
              <c:f>GRAFICO!$L$2:$L$11</c:f>
              <c:numCache>
                <c:formatCode>General</c:formatCode>
                <c:ptCount val="10"/>
                <c:pt idx="0">
                  <c:v>4637</c:v>
                </c:pt>
                <c:pt idx="1">
                  <c:v>3948</c:v>
                </c:pt>
                <c:pt idx="2">
                  <c:v>2916</c:v>
                </c:pt>
                <c:pt idx="3">
                  <c:v>3171</c:v>
                </c:pt>
                <c:pt idx="4">
                  <c:v>3282</c:v>
                </c:pt>
                <c:pt idx="5">
                  <c:v>2715</c:v>
                </c:pt>
                <c:pt idx="6">
                  <c:v>2813</c:v>
                </c:pt>
                <c:pt idx="7">
                  <c:v>3087</c:v>
                </c:pt>
                <c:pt idx="8">
                  <c:v>3105</c:v>
                </c:pt>
                <c:pt idx="9">
                  <c:v>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3F-4739-A2DC-D9FCCA689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gapDepth val="0"/>
        <c:shape val="box"/>
        <c:axId val="249944520"/>
        <c:axId val="250458800"/>
        <c:axId val="0"/>
      </c:bar3DChart>
      <c:catAx>
        <c:axId val="249944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rgbClr val="33CCCC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endParaRPr lang="es-PE"/>
          </a:p>
        </c:txPr>
        <c:crossAx val="250458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0458800"/>
        <c:scaling>
          <c:orientation val="minMax"/>
          <c:max val="5500"/>
          <c:min val="5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12700">
            <a:solidFill>
              <a:srgbClr val="33CCCC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endParaRPr lang="es-PE"/>
          </a:p>
        </c:txPr>
        <c:crossAx val="2499445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0">
      <a:gsLst>
        <a:gs pos="0">
          <a:srgbClr xmlns:mc="http://schemas.openxmlformats.org/markup-compatibility/2006" xmlns:a14="http://schemas.microsoft.com/office/drawing/2010/main" val="DCDCDC" mc:Ignorable="a14" a14:legacySpreadsheetColorIndex="65">
            <a:gamma/>
            <a:shade val="86275"/>
            <a:invGamma/>
          </a:srgbClr>
        </a:gs>
        <a:gs pos="100000">
          <a:srgbClr xmlns:mc="http://schemas.openxmlformats.org/markup-compatibility/2006" xmlns:a14="http://schemas.microsoft.com/office/drawing/2010/main" val="FFFFFF" mc:Ignorable="a14" a14:legacySpreadsheetColorIndex="65"/>
        </a:gs>
      </a:gsLst>
      <a:path path="rect">
        <a:fillToRect l="50000" t="50000" r="50000" b="50000"/>
      </a:path>
    </a:gradFill>
    <a:ln w="38100">
      <a:solidFill>
        <a:srgbClr val="33CCCC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120" verticalDpi="144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</xdr:colOff>
      <xdr:row>1</xdr:row>
      <xdr:rowOff>0</xdr:rowOff>
    </xdr:from>
    <xdr:to>
      <xdr:col>22</xdr:col>
      <xdr:colOff>942975</xdr:colOff>
      <xdr:row>51</xdr:row>
      <xdr:rowOff>57150</xdr:rowOff>
    </xdr:to>
    <xdr:pic>
      <xdr:nvPicPr>
        <xdr:cNvPr id="5" name="grafico" hidden="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59" t="6250" r="5723" b="4261"/>
        <a:stretch/>
      </xdr:blipFill>
      <xdr:spPr>
        <a:xfrm>
          <a:off x="7000875" y="114300"/>
          <a:ext cx="6296025" cy="90011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28</xdr:row>
      <xdr:rowOff>0</xdr:rowOff>
    </xdr:from>
    <xdr:to>
      <xdr:col>2</xdr:col>
      <xdr:colOff>0</xdr:colOff>
      <xdr:row>28</xdr:row>
      <xdr:rowOff>0</xdr:rowOff>
    </xdr:to>
    <xdr:graphicFrame macro="">
      <xdr:nvGraphicFramePr>
        <xdr:cNvPr id="121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9525</xdr:colOff>
      <xdr:row>1</xdr:row>
      <xdr:rowOff>0</xdr:rowOff>
    </xdr:from>
    <xdr:to>
      <xdr:col>16</xdr:col>
      <xdr:colOff>433991</xdr:colOff>
      <xdr:row>4</xdr:row>
      <xdr:rowOff>78600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5" y="114300"/>
          <a:ext cx="1300766" cy="612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7124</xdr:colOff>
      <xdr:row>0</xdr:row>
      <xdr:rowOff>92850</xdr:rowOff>
    </xdr:from>
    <xdr:to>
      <xdr:col>16</xdr:col>
      <xdr:colOff>429457</xdr:colOff>
      <xdr:row>4</xdr:row>
      <xdr:rowOff>57150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8474" y="92850"/>
          <a:ext cx="1298633" cy="61200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0.20953</cdr:x>
      <cdr:y>0.8437</cdr:y>
    </cdr:from>
    <cdr:to>
      <cdr:x>0.20953</cdr:x>
      <cdr:y>0.93115</cdr:y>
    </cdr:to>
    <cdr:sp macro="" textlink="">
      <cdr:nvSpPr>
        <cdr:cNvPr id="205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194766" y="621967"/>
          <a:ext cx="0" cy="64136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PE"/>
        </a:p>
      </cdr:txBody>
    </cdr:sp>
  </cdr:relSizeAnchor>
  <cdr:relSizeAnchor xmlns:cdr="http://schemas.openxmlformats.org/drawingml/2006/chartDrawing">
    <cdr:from>
      <cdr:x>0.25968</cdr:x>
      <cdr:y>0</cdr:y>
    </cdr:from>
    <cdr:to>
      <cdr:x>0.94863</cdr:x>
      <cdr:y>1</cdr:y>
    </cdr:to>
    <cdr:sp macro="" textlink="">
      <cdr:nvSpPr>
        <cdr:cNvPr id="2051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7449" y="-82042"/>
          <a:ext cx="629981" cy="1640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P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( Miles de t )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1</xdr:row>
      <xdr:rowOff>76200</xdr:rowOff>
    </xdr:from>
    <xdr:to>
      <xdr:col>7</xdr:col>
      <xdr:colOff>409575</xdr:colOff>
      <xdr:row>19</xdr:row>
      <xdr:rowOff>104775</xdr:rowOff>
    </xdr:to>
    <xdr:graphicFrame macro="">
      <xdr:nvGraphicFramePr>
        <xdr:cNvPr id="49333" name="Gráfico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657225</xdr:colOff>
      <xdr:row>22</xdr:row>
      <xdr:rowOff>85725</xdr:rowOff>
    </xdr:from>
    <xdr:to>
      <xdr:col>5</xdr:col>
      <xdr:colOff>66675</xdr:colOff>
      <xdr:row>24</xdr:row>
      <xdr:rowOff>104775</xdr:rowOff>
    </xdr:to>
    <xdr:sp macro="[0]!Autoforma1026_AlHacerClic" textlink="">
      <xdr:nvSpPr>
        <xdr:cNvPr id="49154" name="AutoShape 1026"/>
        <xdr:cNvSpPr>
          <a:spLocks noChangeArrowheads="1"/>
        </xdr:cNvSpPr>
      </xdr:nvSpPr>
      <xdr:spPr bwMode="auto">
        <a:xfrm>
          <a:off x="3095625" y="3228975"/>
          <a:ext cx="790575" cy="3048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38100">
          <a:solidFill>
            <a:srgbClr xmlns:mc="http://schemas.openxmlformats.org/markup-compatibility/2006" xmlns:a14="http://schemas.microsoft.com/office/drawing/2010/main" val="008080" mc:Ignorable="a14" a14:legacySpreadsheetColorIndex="21"/>
          </a:solidFill>
          <a:round/>
          <a:headEnd/>
          <a:tailEnd/>
        </a:ln>
        <a:effectLst>
          <a:prstShdw prst="shdw13" dist="63500" dir="3187806">
            <a:srgbClr val="808080"/>
          </a:prstShdw>
        </a:effectLst>
      </xdr:spPr>
      <xdr:txBody>
        <a:bodyPr vertOverflow="clip" wrap="square" lIns="36576" tIns="41148" rIns="36576" bIns="0" anchor="t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008080"/>
              </a:solidFill>
              <a:latin typeface="Comic Sans MS"/>
            </a:rPr>
            <a:t>VOLVER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0.01055</cdr:x>
      <cdr:y>0.27165</cdr:y>
    </cdr:from>
    <cdr:to>
      <cdr:x>0.01275</cdr:x>
      <cdr:y>0.30441</cdr:y>
    </cdr:to>
    <cdr:sp macro="" textlink="">
      <cdr:nvSpPr>
        <cdr:cNvPr id="50177" name="Texto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712140"/>
          <a:ext cx="9944" cy="85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(Miles de t)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Hoja1">
    <pageSetUpPr autoPageBreaks="0"/>
  </sheetPr>
  <dimension ref="A1:W32"/>
  <sheetViews>
    <sheetView showGridLines="0" tabSelected="1" zoomScaleNormal="100" workbookViewId="0">
      <selection activeCell="F30" sqref="F30"/>
    </sheetView>
  </sheetViews>
  <sheetFormatPr baseColWidth="10" defaultColWidth="9.7109375" defaultRowHeight="12.75" customHeight="1" x14ac:dyDescent="0.2"/>
  <cols>
    <col min="1" max="1" width="1.7109375" customWidth="1"/>
    <col min="2" max="2" width="7.5703125" customWidth="1"/>
    <col min="3" max="3" width="11" customWidth="1"/>
    <col min="4" max="10" width="6.85546875" customWidth="1"/>
    <col min="11" max="11" width="7.28515625" customWidth="1"/>
    <col min="12" max="12" width="7.7109375" customWidth="1"/>
    <col min="13" max="13" width="7.28515625" customWidth="1"/>
    <col min="14" max="14" width="7.5703125" customWidth="1"/>
    <col min="15" max="15" width="6.7109375" customWidth="1"/>
    <col min="16" max="16" width="13.140625" customWidth="1"/>
    <col min="17" max="17" width="14.7109375" customWidth="1"/>
    <col min="21" max="21" width="11.28515625" bestFit="1" customWidth="1"/>
    <col min="22" max="22" width="12.140625" customWidth="1"/>
    <col min="23" max="23" width="16.5703125" customWidth="1"/>
  </cols>
  <sheetData>
    <row r="1" spans="1:23" ht="9" customHeight="1" x14ac:dyDescent="0.2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28"/>
      <c r="Q1" s="28"/>
      <c r="R1" s="28"/>
      <c r="S1" s="27"/>
      <c r="T1" s="27"/>
      <c r="U1" s="1"/>
      <c r="V1" s="1"/>
      <c r="W1" s="1"/>
    </row>
    <row r="2" spans="1:23" ht="15" customHeight="1" x14ac:dyDescent="0.25">
      <c r="A2" s="15"/>
      <c r="B2" s="24" t="s">
        <v>21</v>
      </c>
      <c r="C2" s="24"/>
      <c r="D2" s="17"/>
      <c r="E2" s="17"/>
      <c r="F2" s="18"/>
      <c r="G2" s="18"/>
      <c r="H2" s="18"/>
      <c r="I2" s="18"/>
      <c r="J2" s="18"/>
      <c r="K2" s="18"/>
      <c r="L2" s="18"/>
      <c r="M2" s="18"/>
      <c r="N2" s="17"/>
      <c r="O2" s="15"/>
      <c r="P2" s="28"/>
      <c r="Q2" s="48" t="s">
        <v>0</v>
      </c>
      <c r="R2" s="28"/>
      <c r="S2" s="27"/>
      <c r="T2" s="27"/>
      <c r="U2" s="1"/>
      <c r="V2" s="1"/>
      <c r="W2" s="1"/>
    </row>
    <row r="3" spans="1:23" ht="13.5" customHeight="1" x14ac:dyDescent="0.25">
      <c r="A3" s="15"/>
      <c r="B3" s="25" t="s">
        <v>28</v>
      </c>
      <c r="C3" s="25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5"/>
      <c r="P3" s="28"/>
      <c r="Q3" s="48" t="s">
        <v>14</v>
      </c>
      <c r="R3" s="28"/>
      <c r="S3" s="27"/>
      <c r="T3" s="27"/>
      <c r="U3" s="1"/>
      <c r="V3" s="1"/>
      <c r="W3" s="1"/>
    </row>
    <row r="4" spans="1:23" ht="13.5" customHeight="1" x14ac:dyDescent="0.25">
      <c r="A4" s="15"/>
      <c r="B4" s="30" t="s">
        <v>22</v>
      </c>
      <c r="C4" s="30"/>
      <c r="D4" s="17"/>
      <c r="E4" s="17"/>
      <c r="F4" s="17"/>
      <c r="G4" s="19"/>
      <c r="H4" s="19"/>
      <c r="I4" s="19"/>
      <c r="J4" s="19"/>
      <c r="K4" s="19"/>
      <c r="L4" s="19"/>
      <c r="M4" s="19"/>
      <c r="N4" s="19"/>
      <c r="O4" s="15"/>
      <c r="P4" s="28"/>
      <c r="Q4" s="28"/>
      <c r="R4" s="28"/>
      <c r="S4" s="27"/>
      <c r="T4" s="27"/>
      <c r="U4" s="1"/>
      <c r="V4" s="1"/>
      <c r="W4" s="1"/>
    </row>
    <row r="5" spans="1:23" ht="9" customHeight="1" x14ac:dyDescent="0.25">
      <c r="A5" s="15"/>
      <c r="B5" s="20"/>
      <c r="C5" s="20"/>
      <c r="D5" s="17"/>
      <c r="E5" s="17"/>
      <c r="F5" s="17"/>
      <c r="G5" s="19"/>
      <c r="H5" s="19"/>
      <c r="I5" s="19"/>
      <c r="J5" s="19"/>
      <c r="K5" s="19"/>
      <c r="L5" s="19"/>
      <c r="M5" s="19"/>
      <c r="N5" s="19"/>
      <c r="O5" s="15"/>
      <c r="P5" s="28"/>
      <c r="Q5" s="28"/>
      <c r="R5" s="28"/>
      <c r="S5" s="27"/>
      <c r="T5" s="27"/>
      <c r="U5" s="1"/>
      <c r="V5" s="1"/>
      <c r="W5" s="1"/>
    </row>
    <row r="6" spans="1:23" ht="15.75" customHeight="1" x14ac:dyDescent="0.2">
      <c r="A6" s="15"/>
      <c r="B6" s="82" t="s">
        <v>1</v>
      </c>
      <c r="C6" s="39" t="s">
        <v>10</v>
      </c>
      <c r="D6" s="84" t="s">
        <v>20</v>
      </c>
      <c r="E6" s="84"/>
      <c r="F6" s="84"/>
      <c r="G6" s="84"/>
      <c r="H6" s="84"/>
      <c r="I6" s="84"/>
      <c r="J6" s="84"/>
      <c r="K6" s="84"/>
      <c r="L6" s="84"/>
      <c r="M6" s="84"/>
      <c r="N6" s="67" t="s">
        <v>13</v>
      </c>
      <c r="O6" s="15"/>
      <c r="P6" s="28">
        <v>2</v>
      </c>
      <c r="Q6" s="28"/>
      <c r="R6" s="28"/>
      <c r="S6" s="27"/>
      <c r="T6" s="27"/>
      <c r="U6" s="1"/>
      <c r="V6" s="1"/>
      <c r="W6" s="1"/>
    </row>
    <row r="7" spans="1:23" ht="15.75" customHeight="1" x14ac:dyDescent="0.2">
      <c r="A7" s="15"/>
      <c r="B7" s="83"/>
      <c r="C7" s="40" t="s">
        <v>11</v>
      </c>
      <c r="D7" s="68">
        <v>2012</v>
      </c>
      <c r="E7" s="68">
        <v>2013</v>
      </c>
      <c r="F7" s="68">
        <v>2014</v>
      </c>
      <c r="G7" s="68">
        <v>2015</v>
      </c>
      <c r="H7" s="68">
        <v>2016</v>
      </c>
      <c r="I7" s="68">
        <v>2017</v>
      </c>
      <c r="J7" s="68">
        <v>2018</v>
      </c>
      <c r="K7" s="68" t="s">
        <v>23</v>
      </c>
      <c r="L7" s="68" t="s">
        <v>25</v>
      </c>
      <c r="M7" s="68" t="s">
        <v>26</v>
      </c>
      <c r="N7" s="68" t="s">
        <v>27</v>
      </c>
      <c r="O7" s="15"/>
      <c r="P7" s="28"/>
      <c r="Q7" s="28"/>
      <c r="R7" s="28"/>
      <c r="S7" s="27"/>
      <c r="T7" s="27"/>
      <c r="U7" s="1"/>
      <c r="V7" s="1"/>
      <c r="W7" s="1"/>
    </row>
    <row r="8" spans="1:23" ht="18.75" customHeight="1" x14ac:dyDescent="0.25">
      <c r="A8" s="15"/>
      <c r="B8" s="35" t="s">
        <v>2</v>
      </c>
      <c r="C8" s="31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15"/>
      <c r="P8" s="7"/>
      <c r="Q8" s="54"/>
      <c r="R8" s="7"/>
      <c r="S8" s="1"/>
      <c r="T8" s="1"/>
      <c r="U8" s="1"/>
      <c r="V8" s="1"/>
      <c r="W8" s="1"/>
    </row>
    <row r="9" spans="1:23" ht="18.75" customHeight="1" x14ac:dyDescent="0.25">
      <c r="A9" s="15"/>
      <c r="B9" s="36" t="s">
        <v>4</v>
      </c>
      <c r="C9" s="32" t="s">
        <v>12</v>
      </c>
      <c r="D9" s="56">
        <v>1298761.3646879997</v>
      </c>
      <c r="E9" s="56">
        <v>1375640.6942069996</v>
      </c>
      <c r="F9" s="56">
        <v>1377642.4139870002</v>
      </c>
      <c r="G9" s="56">
        <v>1700817.4199590001</v>
      </c>
      <c r="H9" s="56">
        <v>2353858.5579239978</v>
      </c>
      <c r="I9" s="56">
        <v>2445583.815016001</v>
      </c>
      <c r="J9" s="60">
        <v>2437034.8892940013</v>
      </c>
      <c r="K9" s="60">
        <v>2455439.9222271014</v>
      </c>
      <c r="L9" s="60">
        <v>2150125.912128001</v>
      </c>
      <c r="M9" s="60">
        <v>2299276.8602469983</v>
      </c>
      <c r="N9" s="56">
        <v>1096655</v>
      </c>
      <c r="O9" s="7"/>
      <c r="P9" s="1"/>
      <c r="Q9" s="1"/>
      <c r="R9" s="1"/>
      <c r="S9" s="1"/>
      <c r="T9" s="1"/>
      <c r="U9" s="1"/>
      <c r="V9" s="1"/>
      <c r="W9" s="1"/>
    </row>
    <row r="10" spans="1:23" ht="17.25" customHeight="1" x14ac:dyDescent="0.25">
      <c r="A10" s="15"/>
      <c r="B10" s="36" t="s">
        <v>5</v>
      </c>
      <c r="C10" s="32" t="s">
        <v>12</v>
      </c>
      <c r="D10" s="60">
        <v>1281282.4314849998</v>
      </c>
      <c r="E10" s="60">
        <v>1351273.4971279998</v>
      </c>
      <c r="F10" s="60">
        <v>1315474.5571109997</v>
      </c>
      <c r="G10" s="60">
        <v>1421217.9398519997</v>
      </c>
      <c r="H10" s="60">
        <v>1337081.4908789995</v>
      </c>
      <c r="I10" s="60">
        <v>1473072.7682369994</v>
      </c>
      <c r="J10" s="60">
        <v>1474383.1280539993</v>
      </c>
      <c r="K10" s="60">
        <v>1404381.5470066713</v>
      </c>
      <c r="L10" s="60">
        <v>1334570.4777719993</v>
      </c>
      <c r="M10" s="60">
        <v>1532173.397395001</v>
      </c>
      <c r="N10" s="56">
        <v>663260</v>
      </c>
      <c r="O10" s="1"/>
      <c r="P10" s="1"/>
      <c r="Q10" s="1"/>
      <c r="R10" s="1"/>
      <c r="S10" s="1"/>
      <c r="T10" s="1"/>
      <c r="U10" s="1"/>
      <c r="V10" s="1"/>
      <c r="W10" s="1"/>
    </row>
    <row r="11" spans="1:23" ht="17.25" customHeight="1" x14ac:dyDescent="0.25">
      <c r="A11" s="15"/>
      <c r="B11" s="36" t="s">
        <v>15</v>
      </c>
      <c r="C11" s="32" t="s">
        <v>17</v>
      </c>
      <c r="D11" s="60">
        <v>161544.66615318693</v>
      </c>
      <c r="E11" s="60">
        <v>151486.07168989701</v>
      </c>
      <c r="F11" s="60">
        <v>140097.02809351802</v>
      </c>
      <c r="G11" s="60">
        <v>146822.90653714005</v>
      </c>
      <c r="H11" s="60">
        <v>153005.8969761254</v>
      </c>
      <c r="I11" s="60">
        <v>151964.039956411</v>
      </c>
      <c r="J11" s="60">
        <v>140210.98441501198</v>
      </c>
      <c r="K11" s="60">
        <v>128413.46335877453</v>
      </c>
      <c r="L11" s="60">
        <v>88053.944209976995</v>
      </c>
      <c r="M11" s="60">
        <v>97339.265234393795</v>
      </c>
      <c r="N11" s="56">
        <v>46766.44</v>
      </c>
      <c r="O11" s="1"/>
      <c r="P11" s="1"/>
      <c r="Q11" s="1"/>
      <c r="R11" s="1"/>
      <c r="S11" s="1"/>
      <c r="T11" s="1"/>
      <c r="U11" s="1"/>
      <c r="V11" s="1"/>
      <c r="W11" s="1"/>
    </row>
    <row r="12" spans="1:23" ht="17.25" customHeight="1" x14ac:dyDescent="0.25">
      <c r="A12" s="15"/>
      <c r="B12" s="36" t="s">
        <v>16</v>
      </c>
      <c r="C12" s="32" t="s">
        <v>17</v>
      </c>
      <c r="D12" s="60">
        <v>3480856.9120260007</v>
      </c>
      <c r="E12" s="60">
        <v>3674282.5108389999</v>
      </c>
      <c r="F12" s="60">
        <v>3768147.2192430012</v>
      </c>
      <c r="G12" s="60">
        <v>4101567.7170700002</v>
      </c>
      <c r="H12" s="60">
        <v>4375336.6871659989</v>
      </c>
      <c r="I12" s="60">
        <v>4417986.7813469991</v>
      </c>
      <c r="J12" s="60">
        <v>4160161.9325340022</v>
      </c>
      <c r="K12" s="60">
        <v>3860306.0495387185</v>
      </c>
      <c r="L12" s="60">
        <v>2723879.481678999</v>
      </c>
      <c r="M12" s="60">
        <v>3310192.3892180002</v>
      </c>
      <c r="N12" s="56">
        <v>1496113</v>
      </c>
      <c r="O12" s="1"/>
      <c r="P12" s="1"/>
      <c r="Q12" s="1"/>
      <c r="R12" s="1"/>
      <c r="S12" s="1"/>
      <c r="T12" s="1"/>
      <c r="U12" s="1"/>
      <c r="V12" s="1"/>
      <c r="W12" s="1"/>
    </row>
    <row r="13" spans="1:23" ht="17.25" customHeight="1" x14ac:dyDescent="0.25">
      <c r="A13" s="15"/>
      <c r="B13" s="36" t="s">
        <v>6</v>
      </c>
      <c r="C13" s="32" t="s">
        <v>12</v>
      </c>
      <c r="D13" s="60">
        <v>249236.15747600005</v>
      </c>
      <c r="E13" s="60">
        <v>266472.33039300016</v>
      </c>
      <c r="F13" s="60">
        <v>277294.48259600002</v>
      </c>
      <c r="G13" s="60">
        <v>315524.81577999983</v>
      </c>
      <c r="H13" s="60">
        <v>314421.59763299994</v>
      </c>
      <c r="I13" s="60">
        <v>306783.6193299999</v>
      </c>
      <c r="J13" s="60">
        <v>289122.51395999984</v>
      </c>
      <c r="K13" s="60">
        <v>308115.57177064376</v>
      </c>
      <c r="L13" s="60">
        <v>241547.91305100004</v>
      </c>
      <c r="M13" s="60">
        <v>264161.6726209998</v>
      </c>
      <c r="N13" s="56">
        <v>123006</v>
      </c>
      <c r="O13" s="1"/>
      <c r="P13" s="1"/>
      <c r="Q13" s="1"/>
      <c r="R13" s="1"/>
      <c r="S13" s="1"/>
      <c r="T13" s="1"/>
      <c r="U13" s="1"/>
      <c r="V13" s="1"/>
      <c r="W13" s="43"/>
    </row>
    <row r="14" spans="1:23" ht="17.25" customHeight="1" x14ac:dyDescent="0.25">
      <c r="A14" s="15"/>
      <c r="B14" s="36" t="s">
        <v>7</v>
      </c>
      <c r="C14" s="32" t="s">
        <v>12</v>
      </c>
      <c r="D14" s="60">
        <v>6684539.3917999994</v>
      </c>
      <c r="E14" s="60">
        <v>6680658.79</v>
      </c>
      <c r="F14" s="60">
        <v>7192591.9308000002</v>
      </c>
      <c r="G14" s="60">
        <v>7320806.8477000007</v>
      </c>
      <c r="H14" s="60">
        <v>7663123.9877000004</v>
      </c>
      <c r="I14" s="60">
        <v>8806451.7127719987</v>
      </c>
      <c r="J14" s="60">
        <v>9533871.1347549986</v>
      </c>
      <c r="K14" s="60">
        <v>10120007.399119999</v>
      </c>
      <c r="L14" s="60">
        <v>8893971.5276180003</v>
      </c>
      <c r="M14" s="60">
        <v>12149273.526027</v>
      </c>
      <c r="N14" s="57">
        <v>6093907.7000000002</v>
      </c>
      <c r="O14" s="1"/>
      <c r="P14" s="1"/>
      <c r="Q14" s="1"/>
      <c r="R14" s="1"/>
      <c r="S14" s="1"/>
      <c r="T14" s="1"/>
      <c r="U14" s="1"/>
      <c r="V14" s="1"/>
      <c r="W14" s="43"/>
    </row>
    <row r="15" spans="1:23" ht="17.25" customHeight="1" x14ac:dyDescent="0.25">
      <c r="A15" s="15"/>
      <c r="B15" s="36" t="s">
        <v>8</v>
      </c>
      <c r="C15" s="32" t="s">
        <v>12</v>
      </c>
      <c r="D15" s="60">
        <v>26104.854506999996</v>
      </c>
      <c r="E15" s="60">
        <v>23667.787450999997</v>
      </c>
      <c r="F15" s="60">
        <v>23105.261869000002</v>
      </c>
      <c r="G15" s="60">
        <v>19510.729781000002</v>
      </c>
      <c r="H15" s="60">
        <v>18789.004763000001</v>
      </c>
      <c r="I15" s="60">
        <v>17790.363567</v>
      </c>
      <c r="J15" s="60">
        <v>18601.344508000002</v>
      </c>
      <c r="K15" s="60">
        <v>19853.168399999995</v>
      </c>
      <c r="L15" s="60">
        <v>20646.581029999998</v>
      </c>
      <c r="M15" s="60">
        <v>26995.267701000004</v>
      </c>
      <c r="N15" s="56">
        <v>13885</v>
      </c>
      <c r="O15" s="1"/>
      <c r="P15" s="1"/>
      <c r="Q15" s="1"/>
      <c r="R15" s="1"/>
      <c r="S15" s="1"/>
      <c r="T15" s="1"/>
      <c r="U15" s="1"/>
      <c r="V15" s="1"/>
      <c r="W15" s="43"/>
    </row>
    <row r="16" spans="1:23" ht="17.25" customHeight="1" x14ac:dyDescent="0.25">
      <c r="A16" s="15"/>
      <c r="B16" s="36" t="s">
        <v>9</v>
      </c>
      <c r="C16" s="32" t="s">
        <v>12</v>
      </c>
      <c r="D16" s="60">
        <v>16790.374243999999</v>
      </c>
      <c r="E16" s="60">
        <v>18139.597244000001</v>
      </c>
      <c r="F16" s="60">
        <v>17017.692465</v>
      </c>
      <c r="G16" s="60">
        <v>20153.237615999999</v>
      </c>
      <c r="H16" s="60">
        <v>25756.505005000006</v>
      </c>
      <c r="I16" s="60">
        <v>28141.125215</v>
      </c>
      <c r="J16" s="60">
        <v>28033.511926999996</v>
      </c>
      <c r="K16" s="60">
        <v>30441.359039579998</v>
      </c>
      <c r="L16" s="60">
        <v>32184.62588</v>
      </c>
      <c r="M16" s="60">
        <v>34148.029037</v>
      </c>
      <c r="N16" s="56">
        <v>16221</v>
      </c>
      <c r="O16" s="1"/>
      <c r="P16" s="1"/>
      <c r="Q16" s="1"/>
      <c r="R16" s="1"/>
      <c r="S16" s="1"/>
      <c r="T16" s="1"/>
      <c r="U16" s="1"/>
      <c r="V16" s="1"/>
      <c r="W16" s="43"/>
    </row>
    <row r="17" spans="1:23" ht="9" customHeight="1" x14ac:dyDescent="0.25">
      <c r="A17" s="15"/>
      <c r="B17" s="19"/>
      <c r="C17" s="41"/>
      <c r="D17" s="59"/>
      <c r="E17" s="59"/>
      <c r="F17" s="59"/>
      <c r="G17" s="58"/>
      <c r="H17" s="58"/>
      <c r="I17" s="58"/>
      <c r="J17" s="58"/>
      <c r="K17" s="58"/>
      <c r="L17" s="58"/>
      <c r="M17" s="58"/>
      <c r="N17" s="58"/>
      <c r="O17" s="1"/>
      <c r="P17" s="1"/>
      <c r="Q17" s="1"/>
      <c r="R17" s="1"/>
      <c r="S17" s="1"/>
      <c r="T17" s="1"/>
      <c r="U17" s="1"/>
      <c r="V17" s="1"/>
      <c r="W17" s="43"/>
    </row>
    <row r="18" spans="1:23" ht="15" customHeight="1" x14ac:dyDescent="0.25">
      <c r="A18" s="15"/>
      <c r="B18" s="37" t="s">
        <v>3</v>
      </c>
      <c r="C18" s="33"/>
      <c r="D18" s="59"/>
      <c r="E18" s="59"/>
      <c r="F18" s="59"/>
      <c r="G18" s="58"/>
      <c r="H18" s="58"/>
      <c r="I18" s="58"/>
      <c r="J18" s="58"/>
      <c r="K18" s="58"/>
      <c r="L18" s="58"/>
      <c r="M18" s="58"/>
      <c r="N18" s="58"/>
      <c r="O18" s="1"/>
      <c r="P18" s="1"/>
      <c r="Q18" s="1"/>
      <c r="R18" s="1"/>
      <c r="S18" s="1"/>
      <c r="T18" s="1"/>
      <c r="U18" s="1"/>
      <c r="V18" s="1"/>
      <c r="W18" s="43"/>
    </row>
    <row r="19" spans="1:23" ht="17.25" customHeight="1" x14ac:dyDescent="0.25">
      <c r="A19" s="15"/>
      <c r="B19" s="36" t="s">
        <v>4</v>
      </c>
      <c r="C19" s="32" t="s">
        <v>12</v>
      </c>
      <c r="D19" s="73">
        <v>31667.434039</v>
      </c>
      <c r="E19" s="73">
        <v>38528.249164999987</v>
      </c>
      <c r="F19" s="73">
        <v>42459.999566999992</v>
      </c>
      <c r="G19" s="62">
        <v>42088.008214999994</v>
      </c>
      <c r="H19" s="62">
        <v>43155.228753000003</v>
      </c>
      <c r="I19" s="62">
        <v>50316.674041999999</v>
      </c>
      <c r="J19" s="62">
        <v>59899.500603000008</v>
      </c>
      <c r="K19" s="62">
        <v>56696.207694799981</v>
      </c>
      <c r="L19" s="62">
        <v>40869.221336999988</v>
      </c>
      <c r="M19" s="62">
        <v>107755.693203</v>
      </c>
      <c r="N19" s="74">
        <v>89180</v>
      </c>
      <c r="O19" s="1"/>
      <c r="P19" s="7"/>
      <c r="Q19" s="53"/>
      <c r="R19" s="1"/>
      <c r="S19" s="42"/>
      <c r="T19" s="43"/>
      <c r="U19" s="45"/>
      <c r="V19" s="44"/>
      <c r="W19" s="46"/>
    </row>
    <row r="20" spans="1:23" ht="17.25" customHeight="1" x14ac:dyDescent="0.25">
      <c r="A20" s="15"/>
      <c r="B20" s="36" t="s">
        <v>6</v>
      </c>
      <c r="C20" s="32" t="s">
        <v>12</v>
      </c>
      <c r="D20" s="75">
        <v>9759.4905799999997</v>
      </c>
      <c r="E20" s="75">
        <v>15258.743</v>
      </c>
      <c r="F20" s="75">
        <v>16684.838929999998</v>
      </c>
      <c r="G20" s="64">
        <v>17683.912317000002</v>
      </c>
      <c r="H20" s="64">
        <v>18307.49338</v>
      </c>
      <c r="I20" s="64">
        <v>17058.486876999999</v>
      </c>
      <c r="J20" s="64">
        <v>14789.017825999998</v>
      </c>
      <c r="K20" s="64">
        <v>14445.678172000002</v>
      </c>
      <c r="L20" s="64">
        <v>14471.707781999999</v>
      </c>
      <c r="M20" s="64">
        <v>19531.473440000002</v>
      </c>
      <c r="N20" s="76">
        <v>10251</v>
      </c>
      <c r="O20" s="1"/>
      <c r="P20" s="7"/>
      <c r="Q20" s="7"/>
      <c r="R20" s="1"/>
      <c r="S20" s="1"/>
      <c r="T20" s="43"/>
      <c r="U20" s="45"/>
      <c r="V20" s="45"/>
      <c r="W20" s="45"/>
    </row>
    <row r="21" spans="1:23" ht="17.25" customHeight="1" x14ac:dyDescent="0.25">
      <c r="A21" s="15"/>
      <c r="B21" s="36" t="s">
        <v>5</v>
      </c>
      <c r="C21" s="32" t="s">
        <v>12</v>
      </c>
      <c r="D21" s="73">
        <v>114037.53564</v>
      </c>
      <c r="E21" s="73">
        <v>161740.39580000003</v>
      </c>
      <c r="F21" s="73">
        <v>174255.436889</v>
      </c>
      <c r="G21" s="62">
        <v>184176.29011199999</v>
      </c>
      <c r="H21" s="62">
        <v>181054.149378</v>
      </c>
      <c r="I21" s="62">
        <v>163215.28177599999</v>
      </c>
      <c r="J21" s="62">
        <v>138435.196658</v>
      </c>
      <c r="K21" s="62">
        <v>152952.62826699999</v>
      </c>
      <c r="L21" s="62">
        <v>132473.308605</v>
      </c>
      <c r="M21" s="62">
        <v>157591.13480200002</v>
      </c>
      <c r="N21" s="74">
        <v>62388</v>
      </c>
      <c r="O21" s="1"/>
      <c r="P21" s="7"/>
      <c r="Q21" s="7"/>
      <c r="R21" s="1"/>
      <c r="S21" s="1"/>
      <c r="T21" s="43"/>
      <c r="U21" s="45"/>
      <c r="V21" s="45"/>
      <c r="W21" s="47"/>
    </row>
    <row r="22" spans="1:23" ht="17.25" customHeight="1" x14ac:dyDescent="0.25">
      <c r="A22" s="15"/>
      <c r="B22" s="36" t="s">
        <v>18</v>
      </c>
      <c r="C22" s="32" t="s">
        <v>17</v>
      </c>
      <c r="D22" s="77">
        <v>75417.200085000004</v>
      </c>
      <c r="E22" s="77">
        <v>103437.110294</v>
      </c>
      <c r="F22" s="77">
        <v>100713.15476600001</v>
      </c>
      <c r="G22" s="78">
        <v>127065.720107</v>
      </c>
      <c r="H22" s="78">
        <v>134530.37242799997</v>
      </c>
      <c r="I22" s="78">
        <v>130101.129461</v>
      </c>
      <c r="J22" s="78">
        <v>123196.660242</v>
      </c>
      <c r="K22" s="78">
        <v>121442.22741305399</v>
      </c>
      <c r="L22" s="78">
        <v>98944.989522000003</v>
      </c>
      <c r="M22" s="78">
        <v>167820.520299</v>
      </c>
      <c r="N22" s="77">
        <v>110897</v>
      </c>
      <c r="O22" s="1"/>
      <c r="P22" s="1"/>
      <c r="Q22" s="7"/>
      <c r="R22" s="1"/>
      <c r="S22" s="1"/>
      <c r="T22" s="43"/>
      <c r="U22" s="45"/>
      <c r="V22" s="49"/>
      <c r="W22" s="50"/>
    </row>
    <row r="23" spans="1:23" ht="17.25" customHeight="1" x14ac:dyDescent="0.25">
      <c r="A23" s="15"/>
      <c r="B23" s="36" t="s">
        <v>19</v>
      </c>
      <c r="C23" s="32" t="s">
        <v>17</v>
      </c>
      <c r="D23" s="63">
        <v>12.101677130000001</v>
      </c>
      <c r="E23" s="63">
        <v>209.02044821399997</v>
      </c>
      <c r="F23" s="63">
        <v>243.42469326400004</v>
      </c>
      <c r="G23" s="65">
        <v>291.98592303499998</v>
      </c>
      <c r="H23" s="65">
        <v>248.18455285099998</v>
      </c>
      <c r="I23" s="65">
        <v>147.92787832799999</v>
      </c>
      <c r="J23" s="65">
        <v>199.58024948200003</v>
      </c>
      <c r="K23" s="65">
        <v>267.82905852500005</v>
      </c>
      <c r="L23" s="65">
        <v>288.35617508500002</v>
      </c>
      <c r="M23" s="65">
        <v>437.08234292299994</v>
      </c>
      <c r="N23" s="79">
        <v>247.67</v>
      </c>
      <c r="O23" s="1"/>
      <c r="P23" s="1"/>
      <c r="Q23" s="53"/>
      <c r="R23" s="1"/>
      <c r="S23" s="55"/>
      <c r="T23" s="43"/>
      <c r="U23" s="45"/>
      <c r="V23" s="49"/>
      <c r="W23" s="50"/>
    </row>
    <row r="24" spans="1:23" ht="17.25" customHeight="1" x14ac:dyDescent="0.25">
      <c r="A24" s="15"/>
      <c r="B24" s="36" t="s">
        <v>7</v>
      </c>
      <c r="C24" s="32" t="s">
        <v>12</v>
      </c>
      <c r="D24" s="80">
        <v>6684539.3917999994</v>
      </c>
      <c r="E24" s="80">
        <v>6680658.79</v>
      </c>
      <c r="F24" s="80">
        <v>7192591.9308000002</v>
      </c>
      <c r="G24" s="66">
        <v>7320806.8477000007</v>
      </c>
      <c r="H24" s="66">
        <v>7663123.9877000004</v>
      </c>
      <c r="I24" s="66">
        <v>8806451.7127719987</v>
      </c>
      <c r="J24" s="66">
        <v>9533871.1347550005</v>
      </c>
      <c r="K24" s="66">
        <v>10120007.399119999</v>
      </c>
      <c r="L24" s="66">
        <v>8893971.5276180003</v>
      </c>
      <c r="M24" s="66">
        <v>12149273.526027</v>
      </c>
      <c r="N24" s="80">
        <v>6093907.7000000002</v>
      </c>
      <c r="O24" s="1"/>
      <c r="P24" s="52"/>
      <c r="Q24" s="52"/>
      <c r="R24" s="1"/>
      <c r="S24" s="1"/>
      <c r="T24" s="43"/>
      <c r="U24" s="45"/>
      <c r="V24" s="49"/>
      <c r="W24" s="50"/>
    </row>
    <row r="25" spans="1:23" ht="9" customHeight="1" x14ac:dyDescent="0.25">
      <c r="A25" s="15"/>
      <c r="B25" s="21"/>
      <c r="C25" s="34"/>
      <c r="D25" s="70"/>
      <c r="E25" s="70"/>
      <c r="F25" s="70"/>
      <c r="G25" s="70"/>
      <c r="H25" s="70"/>
      <c r="I25" s="70"/>
      <c r="J25" s="70"/>
      <c r="K25" s="71"/>
      <c r="L25" s="71"/>
      <c r="M25" s="71"/>
      <c r="N25" s="71"/>
      <c r="O25" s="7"/>
      <c r="P25" s="7"/>
      <c r="Q25" s="7"/>
      <c r="R25" s="1"/>
      <c r="S25" s="1"/>
      <c r="T25" s="43"/>
      <c r="U25" s="43"/>
      <c r="V25" s="29"/>
      <c r="W25" s="29"/>
    </row>
    <row r="26" spans="1:23" ht="12" customHeight="1" x14ac:dyDescent="0.25">
      <c r="A26" s="15"/>
      <c r="B26" s="72" t="s">
        <v>29</v>
      </c>
      <c r="C26" s="26"/>
      <c r="D26" s="17"/>
      <c r="E26" s="17"/>
      <c r="F26" s="17"/>
      <c r="G26" s="17"/>
      <c r="H26" s="17"/>
      <c r="I26" s="17"/>
      <c r="J26" s="17"/>
      <c r="K26" s="23"/>
      <c r="L26" s="23"/>
      <c r="M26" s="23"/>
      <c r="N26" s="17"/>
      <c r="O26" s="7"/>
      <c r="P26" s="7"/>
      <c r="Q26" s="7"/>
      <c r="R26" s="7"/>
      <c r="S26" s="1"/>
      <c r="T26" s="43"/>
      <c r="U26" s="43"/>
      <c r="V26" s="29"/>
      <c r="W26" s="29"/>
    </row>
    <row r="27" spans="1:23" ht="12" customHeight="1" x14ac:dyDescent="0.25">
      <c r="A27" s="38"/>
      <c r="B27" s="61" t="s">
        <v>24</v>
      </c>
      <c r="C27" s="26"/>
      <c r="D27" s="17"/>
      <c r="E27" s="17"/>
      <c r="F27" s="17"/>
      <c r="G27" s="17"/>
      <c r="H27" s="17"/>
      <c r="I27" s="17"/>
      <c r="J27" s="17"/>
      <c r="K27" s="23"/>
      <c r="L27" s="23"/>
      <c r="M27" s="23"/>
      <c r="N27" s="17"/>
      <c r="O27" s="7"/>
      <c r="P27" s="7"/>
      <c r="Q27" s="7"/>
      <c r="R27" s="7"/>
      <c r="S27" s="1"/>
      <c r="T27" s="43"/>
      <c r="U27" s="43"/>
      <c r="V27" s="29"/>
      <c r="W27" s="29"/>
    </row>
    <row r="28" spans="1:23" ht="11.25" customHeight="1" x14ac:dyDescent="0.25">
      <c r="A28" s="15"/>
      <c r="B28" s="1"/>
      <c r="C28" s="22"/>
      <c r="D28" s="17"/>
      <c r="E28" s="17"/>
      <c r="F28" s="17"/>
      <c r="G28" s="17"/>
      <c r="H28" s="17"/>
      <c r="I28" s="17"/>
      <c r="J28" s="17"/>
      <c r="K28" s="23"/>
      <c r="L28" s="23"/>
      <c r="M28" s="23"/>
      <c r="N28" s="17"/>
      <c r="O28" s="15"/>
      <c r="P28" s="7"/>
      <c r="Q28" s="7"/>
      <c r="R28" s="7"/>
      <c r="S28" s="1"/>
      <c r="T28" s="43"/>
      <c r="U28" s="43"/>
      <c r="V28" s="29"/>
      <c r="W28" s="51">
        <f>SUM(W29:W32)</f>
        <v>170437.33656399997</v>
      </c>
    </row>
    <row r="29" spans="1:23" ht="11.25" customHeight="1" x14ac:dyDescent="0.2">
      <c r="A29" s="8"/>
      <c r="B29" s="11"/>
      <c r="C29" s="11"/>
      <c r="D29" s="13"/>
      <c r="E29" s="15"/>
      <c r="F29" s="14"/>
      <c r="G29" s="14"/>
      <c r="H29" s="14"/>
      <c r="I29" s="14"/>
      <c r="J29" s="14"/>
      <c r="K29" s="16"/>
      <c r="L29" s="16"/>
      <c r="M29" s="16"/>
      <c r="N29" s="7"/>
      <c r="O29" s="7"/>
      <c r="P29" s="7"/>
      <c r="Q29" s="1"/>
      <c r="R29" s="1"/>
      <c r="S29" s="1"/>
      <c r="T29" s="43"/>
      <c r="U29" s="43"/>
      <c r="V29" s="29"/>
      <c r="W29" s="49">
        <v>1599.2452089999999</v>
      </c>
    </row>
    <row r="30" spans="1:23" x14ac:dyDescent="0.2">
      <c r="A30" s="7"/>
      <c r="B30" s="81"/>
      <c r="C30" s="1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1"/>
      <c r="R30" s="1"/>
      <c r="S30" s="1"/>
      <c r="T30" s="43"/>
      <c r="U30" s="43"/>
      <c r="V30" s="29"/>
      <c r="W30" s="49">
        <v>2349</v>
      </c>
    </row>
    <row r="31" spans="1:23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1"/>
      <c r="R31" s="1"/>
      <c r="S31" s="1"/>
      <c r="T31" s="43"/>
      <c r="U31" s="43"/>
      <c r="V31" s="29"/>
      <c r="W31" s="49">
        <v>163216.50382499999</v>
      </c>
    </row>
    <row r="32" spans="1:23" x14ac:dyDescent="0.2">
      <c r="A32" s="7"/>
      <c r="B32" s="7"/>
      <c r="C32" s="7"/>
      <c r="D32" s="7"/>
      <c r="E32" s="7"/>
      <c r="F32" s="10"/>
      <c r="G32" s="10"/>
      <c r="H32" s="10"/>
      <c r="I32" s="10"/>
      <c r="J32" s="10"/>
      <c r="K32" s="10"/>
      <c r="L32" s="10"/>
      <c r="M32" s="10"/>
      <c r="N32" s="9"/>
      <c r="O32" s="7"/>
      <c r="P32" s="7"/>
      <c r="Q32" s="1"/>
      <c r="R32" s="1"/>
      <c r="S32" s="1"/>
      <c r="T32" s="43"/>
      <c r="U32" s="43"/>
      <c r="V32" s="29"/>
      <c r="W32" s="49">
        <v>3272.5875299999998</v>
      </c>
    </row>
  </sheetData>
  <mergeCells count="2">
    <mergeCell ref="B6:B7"/>
    <mergeCell ref="D6:M6"/>
  </mergeCells>
  <phoneticPr fontId="0" type="noConversion"/>
  <printOptions horizontalCentered="1"/>
  <pageMargins left="0.78740157480314965" right="0.59055118110236227" top="0.78740157480314965" bottom="0.19685039370078741" header="0" footer="0"/>
  <pageSetup paperSize="9" scale="92" orientation="portrait" r:id="rId1"/>
  <headerFooter alignWithMargins="0"/>
  <rowBreaks count="2" manualBreakCount="2">
    <brk id="4359" max="12" man="1"/>
    <brk id="5271" max="12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autoPageBreaks="0"/>
  </sheetPr>
  <dimension ref="K1:L11"/>
  <sheetViews>
    <sheetView showGridLines="0" zoomScaleNormal="100" workbookViewId="0">
      <pane xSplit="10" ySplit="31" topLeftCell="K32" activePane="bottomRight" state="frozen"/>
      <selection pane="topRight" activeCell="K1" sqref="K1"/>
      <selection pane="bottomLeft" activeCell="A32" sqref="A32"/>
      <selection pane="bottomRight" activeCell="K32" sqref="K32"/>
    </sheetView>
  </sheetViews>
  <sheetFormatPr baseColWidth="10" defaultRowHeight="11.25" x14ac:dyDescent="0.2"/>
  <cols>
    <col min="1" max="1" width="13.7109375" style="4" customWidth="1"/>
    <col min="2" max="4" width="11.42578125" style="4"/>
    <col min="5" max="5" width="9.28515625" style="4" customWidth="1"/>
    <col min="6" max="8" width="11.42578125" style="4"/>
    <col min="9" max="9" width="13.7109375" style="4" customWidth="1"/>
    <col min="10" max="10" width="11.42578125" style="4"/>
    <col min="11" max="12" width="9.7109375" style="4" customWidth="1"/>
    <col min="13" max="16384" width="11.42578125" style="4"/>
  </cols>
  <sheetData>
    <row r="1" spans="11:12" s="6" customFormat="1" x14ac:dyDescent="0.2"/>
    <row r="2" spans="11:12" x14ac:dyDescent="0.2">
      <c r="K2" s="2">
        <v>1994</v>
      </c>
      <c r="L2" s="3">
        <v>4637</v>
      </c>
    </row>
    <row r="3" spans="11:12" x14ac:dyDescent="0.2">
      <c r="K3" s="2">
        <v>1995</v>
      </c>
      <c r="L3" s="3">
        <v>3948</v>
      </c>
    </row>
    <row r="4" spans="11:12" x14ac:dyDescent="0.2">
      <c r="K4" s="2">
        <v>1996</v>
      </c>
      <c r="L4" s="3">
        <v>2916</v>
      </c>
    </row>
    <row r="5" spans="11:12" x14ac:dyDescent="0.2">
      <c r="K5" s="2">
        <v>1997</v>
      </c>
      <c r="L5" s="3">
        <v>3171</v>
      </c>
    </row>
    <row r="6" spans="11:12" x14ac:dyDescent="0.2">
      <c r="K6" s="2">
        <v>1998</v>
      </c>
      <c r="L6" s="3">
        <v>3282</v>
      </c>
    </row>
    <row r="7" spans="11:12" x14ac:dyDescent="0.2">
      <c r="K7" s="2">
        <v>1999</v>
      </c>
      <c r="L7" s="4">
        <v>2715</v>
      </c>
    </row>
    <row r="8" spans="11:12" x14ac:dyDescent="0.2">
      <c r="K8" s="2">
        <v>2000</v>
      </c>
      <c r="L8" s="4">
        <v>2813</v>
      </c>
    </row>
    <row r="9" spans="11:12" x14ac:dyDescent="0.2">
      <c r="K9" s="5">
        <v>2001</v>
      </c>
      <c r="L9" s="4">
        <v>3087</v>
      </c>
    </row>
    <row r="10" spans="11:12" x14ac:dyDescent="0.2">
      <c r="K10" s="5">
        <v>2002</v>
      </c>
      <c r="L10" s="4">
        <v>3105</v>
      </c>
    </row>
    <row r="11" spans="11:12" x14ac:dyDescent="0.2">
      <c r="K11" s="5">
        <v>2003</v>
      </c>
      <c r="L11" s="4">
        <v>3485</v>
      </c>
    </row>
  </sheetData>
  <sheetProtection password="CA9D" sheet="1" objects="1" scenarios="1"/>
  <phoneticPr fontId="0" type="noConversion"/>
  <pageMargins left="0.75" right="0.75" top="0.19685039370078741" bottom="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  14,1  </vt:lpstr>
      <vt:lpstr>GRAFICO</vt:lpstr>
      <vt:lpstr>'  14,1  '!A_impresión_IM</vt:lpstr>
      <vt:lpstr>'  14,1  '!Área_de_impresión</vt:lpstr>
      <vt:lpstr>GRAFICO!Área_de_impresión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2014-09-18T18:02:05Z</cp:lastPrinted>
  <dcterms:created xsi:type="dcterms:W3CDTF">1996-10-25T01:03:55Z</dcterms:created>
  <dcterms:modified xsi:type="dcterms:W3CDTF">2022-12-16T16:00:17Z</dcterms:modified>
</cp:coreProperties>
</file>